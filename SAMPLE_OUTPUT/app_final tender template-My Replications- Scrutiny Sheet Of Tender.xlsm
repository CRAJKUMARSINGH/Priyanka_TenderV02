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defaultThemeVersion="123820"/>
  <mc:AlternateContent xmlns:mc="http://schemas.openxmlformats.org/markup-compatibility/2006">
    <mc:Choice Requires="x15">
      <x15ac:absPath xmlns:x15ac="http://schemas.microsoft.com/office/spreadsheetml/2010/11/ac" url="C:\Users\Rajkumar\Downloads\"/>
    </mc:Choice>
  </mc:AlternateContent>
  <bookViews>
    <workbookView xWindow="-105" yWindow="-105" windowWidth="23250" windowHeight="12570" tabRatio="1000" activeTab="10"/>
  </bookViews>
  <sheets>
    <sheet name="Compare-1" sheetId="1" r:id="rId1"/>
    <sheet name="NS-1" sheetId="2" r:id="rId2"/>
    <sheet name="WO-1" sheetId="3" r:id="rId3"/>
    <sheet name="AL-1 " sheetId="4" r:id="rId4"/>
    <sheet name="Compare-2" sheetId="5" r:id="rId5"/>
    <sheet name="Sheet1" sheetId="41" r:id="rId6"/>
    <sheet name="NS-2" sheetId="6" r:id="rId7"/>
    <sheet name="WO-2" sheetId="7" r:id="rId8"/>
    <sheet name="AL-2" sheetId="8" r:id="rId9"/>
    <sheet name="Compare-3" sheetId="9" r:id="rId10"/>
    <sheet name="NS-3" sheetId="10" r:id="rId11"/>
    <sheet name="WO-3" sheetId="11" r:id="rId12"/>
    <sheet name="AL-3" sheetId="12" r:id="rId13"/>
    <sheet name="Compare-4" sheetId="13" r:id="rId14"/>
    <sheet name="NS-4" sheetId="14" r:id="rId15"/>
    <sheet name="WO-4" sheetId="15" r:id="rId16"/>
    <sheet name="AL-4" sheetId="16" r:id="rId17"/>
    <sheet name="Compare-5" sheetId="17" r:id="rId18"/>
    <sheet name="NS-5" sheetId="18" r:id="rId19"/>
    <sheet name="WO-5" sheetId="19" r:id="rId20"/>
    <sheet name="AL-5" sheetId="20" r:id="rId21"/>
    <sheet name="Compare-6" sheetId="21" r:id="rId22"/>
    <sheet name="NS-6" sheetId="22" r:id="rId23"/>
    <sheet name="WO-6" sheetId="23" r:id="rId24"/>
    <sheet name="AL-6" sheetId="24" r:id="rId25"/>
    <sheet name="Compare-7" sheetId="25" r:id="rId26"/>
    <sheet name="NS-7" sheetId="26" r:id="rId27"/>
    <sheet name="WO-7" sheetId="27" r:id="rId28"/>
    <sheet name="AL-7" sheetId="28" r:id="rId29"/>
    <sheet name="Compare-8" sheetId="29" r:id="rId30"/>
    <sheet name="NS-8" sheetId="30" r:id="rId31"/>
    <sheet name="WO-8" sheetId="31" r:id="rId32"/>
    <sheet name="AL-8" sheetId="32" r:id="rId33"/>
    <sheet name="Compare-9" sheetId="33" r:id="rId34"/>
    <sheet name="NS-9" sheetId="34" r:id="rId35"/>
    <sheet name="WO-9" sheetId="35" r:id="rId36"/>
    <sheet name="AL-9" sheetId="36" r:id="rId37"/>
    <sheet name="Compare-10" sheetId="37" r:id="rId38"/>
    <sheet name="NS-10" sheetId="38" r:id="rId39"/>
    <sheet name="WO-10" sheetId="39" r:id="rId40"/>
    <sheet name="AL-10" sheetId="40" r:id="rId41"/>
  </sheets>
  <functionGroups builtInGroupCount="18"/>
  <definedNames>
    <definedName name="Above_Below">'Compare-1'!$E$17</definedName>
    <definedName name="Above_Below_item10">'Compare-10'!$E$17</definedName>
    <definedName name="Above_Below_item2">'Compare-2'!$E$17</definedName>
    <definedName name="Above_Below_item3">'Compare-3'!$E$17</definedName>
    <definedName name="Above_Below_item4">'Compare-4'!$E$17</definedName>
    <definedName name="Above_Below_item5">'Compare-5'!$E$17</definedName>
    <definedName name="Above_Below_item6">'Compare-6'!$E$17</definedName>
    <definedName name="Above_Below_item7">'Compare-7'!$E$17</definedName>
    <definedName name="Above_Below_item8">'Compare-8'!$E$17</definedName>
    <definedName name="Above_Below_item9">'Compare-9'!$E$17</definedName>
    <definedName name="Bid_Amount">'Compare-1'!$F$17</definedName>
    <definedName name="Bid_Amount_item10">'Compare-10'!$F$17</definedName>
    <definedName name="Bid_Amount_item2">'Compare-2'!$F$17</definedName>
    <definedName name="Bid_Amount_item3">'Compare-3'!$F$17</definedName>
    <definedName name="Bid_Amount_item4">'Compare-4'!$F$17</definedName>
    <definedName name="Bid_Amount_item5">'Compare-5'!$F$17</definedName>
    <definedName name="Bid_Amount_item6">'Compare-6'!$F$17</definedName>
    <definedName name="Bid_Amount_item7">'Compare-7'!$F$17</definedName>
    <definedName name="Bid_Amount_item8">'Compare-8'!$F$17</definedName>
    <definedName name="Bid_Amount_item9">'Compare-9'!$F$17</definedName>
    <definedName name="Lowest_bidder">'Compare-1'!$B$17</definedName>
    <definedName name="Lowest_bidder_item10">'Compare-10'!$B$17</definedName>
    <definedName name="Lowest_bidder_item2">'Compare-2'!$B$17</definedName>
    <definedName name="Lowest_bidder_item3">'Compare-3'!$B$17</definedName>
    <definedName name="Lowest_bidder_item4">'Compare-4'!$B$17</definedName>
    <definedName name="Lowest_bidder_item5">'Compare-5'!$B$17</definedName>
    <definedName name="Lowest_bidder_item6">'Compare-6'!$B$17</definedName>
    <definedName name="Lowest_bidder_item7">'Compare-7'!$B$17</definedName>
    <definedName name="Lowest_bidder_item8">'Compare-8'!$B$17</definedName>
    <definedName name="Lowest_bidder_item9">'Compare-9'!$B$17</definedName>
    <definedName name="percentile">'Compare-1'!$D$17</definedName>
    <definedName name="percentile_item10">'Compare-10'!$D$17</definedName>
    <definedName name="percentile_item2">'Compare-2'!$D$17</definedName>
    <definedName name="percentile_item3">'Compare-3'!$D$17</definedName>
    <definedName name="percentile_item4">'Compare-4'!$D$17</definedName>
    <definedName name="percentile_item5">'Compare-5'!$D$17</definedName>
    <definedName name="percentile_item6">'Compare-6'!$D$17</definedName>
    <definedName name="percentile_item7">'Compare-7'!$D$17</definedName>
    <definedName name="percentile_item8">'Compare-8'!$D$17</definedName>
    <definedName name="percentile_item9">'Compare-9'!$D$17</definedName>
    <definedName name="_xlnm.Print_Area" localSheetId="0">'Compare-1'!$A$1:$G$25</definedName>
    <definedName name="_xlnm.Print_Area" localSheetId="37">'Compare-10'!$A$1:$G$25</definedName>
    <definedName name="_xlnm.Print_Area" localSheetId="4">'Compare-2'!$A$1:$G$25</definedName>
    <definedName name="_xlnm.Print_Area" localSheetId="9">'Compare-3'!$A$1:$G$25</definedName>
    <definedName name="_xlnm.Print_Area" localSheetId="13">'Compare-4'!$A$1:$G$25</definedName>
    <definedName name="_xlnm.Print_Area" localSheetId="17">'Compare-5'!$A$1:$G$25</definedName>
    <definedName name="_xlnm.Print_Area" localSheetId="21">'Compare-6'!$A$1:$G$25</definedName>
    <definedName name="_xlnm.Print_Area" localSheetId="25">'Compare-7'!$A$1:$G$25</definedName>
    <definedName name="_xlnm.Print_Area" localSheetId="29">'Compare-8'!$A$1:$G$25</definedName>
    <definedName name="_xlnm.Print_Area" localSheetId="33">'Compare-9'!$A$1:$G$25</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 i="10" l="1"/>
  <c r="E12" i="10"/>
  <c r="G10" i="33" l="1"/>
  <c r="E9" i="34" s="1"/>
  <c r="F4" i="33"/>
  <c r="E8" i="34" s="1"/>
  <c r="G10" i="37"/>
  <c r="E19" i="38" s="1"/>
  <c r="F4" i="37"/>
  <c r="G9" i="37" s="1"/>
  <c r="B4" i="37"/>
  <c r="C9" i="40" s="1"/>
  <c r="G10" i="29"/>
  <c r="F4" i="29"/>
  <c r="C11" i="31" s="1"/>
  <c r="G10" i="25"/>
  <c r="D11" i="28" s="1"/>
  <c r="E12" i="28" s="1"/>
  <c r="F4" i="25"/>
  <c r="G10" i="21"/>
  <c r="D11" i="24" s="1"/>
  <c r="E12" i="24" s="1"/>
  <c r="F4" i="21"/>
  <c r="C10" i="24" s="1"/>
  <c r="B4" i="18"/>
  <c r="B4" i="20"/>
  <c r="B4" i="21"/>
  <c r="B4" i="22"/>
  <c r="B4" i="24"/>
  <c r="B4" i="25"/>
  <c r="C9" i="28" s="1"/>
  <c r="B4" i="26"/>
  <c r="B4" i="28"/>
  <c r="B4" i="29"/>
  <c r="C10" i="31" s="1"/>
  <c r="B4" i="30"/>
  <c r="B4" i="32"/>
  <c r="B4" i="33"/>
  <c r="C9" i="36" s="1"/>
  <c r="B4" i="17"/>
  <c r="G10" i="7"/>
  <c r="G10" i="8"/>
  <c r="D11" i="12"/>
  <c r="E12" i="12" s="1"/>
  <c r="G10" i="13"/>
  <c r="G10" i="17"/>
  <c r="D12" i="19" s="1"/>
  <c r="E13" i="19" s="1"/>
  <c r="G10" i="5"/>
  <c r="D12" i="7" s="1"/>
  <c r="E13" i="7" s="1"/>
  <c r="F4" i="8"/>
  <c r="F4" i="9"/>
  <c r="F4" i="13"/>
  <c r="C11" i="15" s="1"/>
  <c r="F4" i="17"/>
  <c r="C10" i="20" s="1"/>
  <c r="F4" i="5"/>
  <c r="E8" i="6" s="1"/>
  <c r="B4" i="6"/>
  <c r="B4" i="8"/>
  <c r="B4" i="9"/>
  <c r="B4" i="13"/>
  <c r="C9" i="16" s="1"/>
  <c r="B4" i="5"/>
  <c r="E9" i="40"/>
  <c r="E10" i="39"/>
  <c r="C9" i="39"/>
  <c r="E11" i="38"/>
  <c r="E10" i="38"/>
  <c r="E9" i="38"/>
  <c r="E8" i="38"/>
  <c r="E3" i="38"/>
  <c r="C15" i="37"/>
  <c r="F15" i="37" s="1"/>
  <c r="F14" i="37"/>
  <c r="C14" i="37"/>
  <c r="C13" i="37"/>
  <c r="F13" i="37" s="1"/>
  <c r="F12" i="37"/>
  <c r="C5" i="37"/>
  <c r="E6" i="38" s="1"/>
  <c r="E9" i="36"/>
  <c r="D12" i="35"/>
  <c r="E13" i="35" s="1"/>
  <c r="C11" i="35"/>
  <c r="E10" i="35"/>
  <c r="C9" i="35"/>
  <c r="E19" i="34"/>
  <c r="E11" i="34"/>
  <c r="E10" i="34"/>
  <c r="E3" i="34"/>
  <c r="C15" i="33"/>
  <c r="F15" i="33" s="1"/>
  <c r="F14" i="33"/>
  <c r="C14" i="33"/>
  <c r="C13" i="33"/>
  <c r="F13" i="33" s="1"/>
  <c r="F12" i="33"/>
  <c r="B17" i="33" s="1"/>
  <c r="C5" i="33"/>
  <c r="E6" i="34" s="1"/>
  <c r="D11" i="32"/>
  <c r="E12" i="32" s="1"/>
  <c r="C10" i="32"/>
  <c r="E9" i="32"/>
  <c r="C9" i="32"/>
  <c r="D12" i="31"/>
  <c r="E13" i="31" s="1"/>
  <c r="E10" i="31"/>
  <c r="C9" i="31"/>
  <c r="E19" i="30"/>
  <c r="E11" i="30"/>
  <c r="E10" i="30"/>
  <c r="E9" i="30"/>
  <c r="E3" i="30"/>
  <c r="F15" i="29"/>
  <c r="C15" i="29"/>
  <c r="C14" i="29"/>
  <c r="F14" i="29" s="1"/>
  <c r="B17" i="29" s="1"/>
  <c r="F13" i="29"/>
  <c r="C13" i="29"/>
  <c r="F12" i="29"/>
  <c r="C5" i="29"/>
  <c r="E6" i="30" s="1"/>
  <c r="C10" i="28"/>
  <c r="E9" i="28"/>
  <c r="D12" i="27"/>
  <c r="E13" i="27" s="1"/>
  <c r="C11" i="27"/>
  <c r="E10" i="27"/>
  <c r="C10" i="27"/>
  <c r="C9" i="27"/>
  <c r="E19" i="26"/>
  <c r="E11" i="26"/>
  <c r="E10" i="26"/>
  <c r="E9" i="26"/>
  <c r="E8" i="26"/>
  <c r="E3" i="26"/>
  <c r="F15" i="25"/>
  <c r="C15" i="25"/>
  <c r="C14" i="25"/>
  <c r="F14" i="25" s="1"/>
  <c r="B17" i="25" s="1"/>
  <c r="F13" i="25"/>
  <c r="C13" i="25"/>
  <c r="F12" i="25"/>
  <c r="F17" i="25" s="1"/>
  <c r="C6" i="25" s="1"/>
  <c r="C9" i="25" s="1"/>
  <c r="G9" i="25"/>
  <c r="C5" i="25"/>
  <c r="E6" i="26" s="1"/>
  <c r="E9" i="24"/>
  <c r="C9" i="24"/>
  <c r="D12" i="23"/>
  <c r="E13" i="23" s="1"/>
  <c r="C11" i="23"/>
  <c r="E10" i="23"/>
  <c r="C10" i="23"/>
  <c r="C9" i="23"/>
  <c r="E19" i="22"/>
  <c r="E11" i="22"/>
  <c r="E10" i="22"/>
  <c r="E9" i="22"/>
  <c r="E8" i="22"/>
  <c r="E3" i="22"/>
  <c r="F15" i="21"/>
  <c r="C15" i="21"/>
  <c r="C14" i="21"/>
  <c r="F14" i="21" s="1"/>
  <c r="B17" i="21" s="1"/>
  <c r="F13" i="21"/>
  <c r="C13" i="21"/>
  <c r="F12" i="21"/>
  <c r="F17" i="21" s="1"/>
  <c r="C6" i="21" s="1"/>
  <c r="C9" i="21" s="1"/>
  <c r="G9" i="21"/>
  <c r="C5" i="21"/>
  <c r="E6" i="22" s="1"/>
  <c r="D11" i="20"/>
  <c r="E12" i="20" s="1"/>
  <c r="E9" i="20"/>
  <c r="C9" i="20"/>
  <c r="E10" i="19"/>
  <c r="C10" i="19"/>
  <c r="C9" i="19"/>
  <c r="E11" i="18"/>
  <c r="E10" i="18"/>
  <c r="E9" i="18"/>
  <c r="E8" i="18"/>
  <c r="E3" i="18"/>
  <c r="F15" i="17"/>
  <c r="C15" i="17"/>
  <c r="C14" i="17"/>
  <c r="F14" i="17" s="1"/>
  <c r="B17" i="17" s="1"/>
  <c r="F13" i="17"/>
  <c r="C13" i="17"/>
  <c r="F12" i="17"/>
  <c r="F17" i="17" s="1"/>
  <c r="C6" i="17" s="1"/>
  <c r="C9" i="17" s="1"/>
  <c r="C5" i="17"/>
  <c r="E6" i="18" s="1"/>
  <c r="D11" i="16"/>
  <c r="E12" i="16" s="1"/>
  <c r="E9" i="16"/>
  <c r="D12" i="15"/>
  <c r="E13" i="15" s="1"/>
  <c r="E10" i="15"/>
  <c r="C9" i="15"/>
  <c r="E19" i="14"/>
  <c r="E11" i="14"/>
  <c r="E10" i="14"/>
  <c r="E9" i="14"/>
  <c r="E3" i="14"/>
  <c r="C15" i="13"/>
  <c r="F15" i="13" s="1"/>
  <c r="F14" i="13"/>
  <c r="C14" i="13"/>
  <c r="C13" i="13"/>
  <c r="F13" i="13" s="1"/>
  <c r="F12" i="13"/>
  <c r="B17" i="13" s="1"/>
  <c r="C5" i="13"/>
  <c r="E6" i="14" s="1"/>
  <c r="E9" i="12"/>
  <c r="C9" i="12"/>
  <c r="D12" i="11"/>
  <c r="E13" i="11" s="1"/>
  <c r="E10" i="11"/>
  <c r="C10" i="11"/>
  <c r="C9" i="11"/>
  <c r="E3" i="10"/>
  <c r="C15" i="9"/>
  <c r="F15" i="9" s="1"/>
  <c r="F14" i="9"/>
  <c r="C14" i="9"/>
  <c r="C13" i="9"/>
  <c r="F13" i="9" s="1"/>
  <c r="F12" i="9"/>
  <c r="B17" i="9" s="1"/>
  <c r="C5" i="9"/>
  <c r="E6" i="10" s="1"/>
  <c r="D11" i="8"/>
  <c r="E12" i="8" s="1"/>
  <c r="E9" i="8"/>
  <c r="C9" i="8"/>
  <c r="E10" i="7"/>
  <c r="C10" i="7"/>
  <c r="C9" i="7"/>
  <c r="E11" i="6"/>
  <c r="E10" i="6"/>
  <c r="E3" i="6"/>
  <c r="C15" i="5"/>
  <c r="F15" i="5" s="1"/>
  <c r="C14" i="5"/>
  <c r="F14" i="5" s="1"/>
  <c r="C13" i="5"/>
  <c r="F13" i="5" s="1"/>
  <c r="F12" i="5"/>
  <c r="C5" i="5"/>
  <c r="E6" i="6" s="1"/>
  <c r="C14" i="1"/>
  <c r="F14" i="1" s="1"/>
  <c r="C15" i="1"/>
  <c r="F15" i="1" s="1"/>
  <c r="C13" i="1"/>
  <c r="F13" i="1" s="1"/>
  <c r="C5" i="1"/>
  <c r="E6" i="2" s="1"/>
  <c r="E10" i="3"/>
  <c r="D11" i="4"/>
  <c r="E12" i="4" s="1"/>
  <c r="C10" i="4"/>
  <c r="E9" i="4"/>
  <c r="C9" i="4"/>
  <c r="D12" i="3"/>
  <c r="E13" i="3" s="1"/>
  <c r="C11" i="3"/>
  <c r="C10" i="3"/>
  <c r="C9" i="3"/>
  <c r="E19" i="2"/>
  <c r="E11" i="2"/>
  <c r="E10" i="2"/>
  <c r="E9" i="2"/>
  <c r="E8" i="2"/>
  <c r="E3" i="2"/>
  <c r="F12" i="1"/>
  <c r="G7" i="1"/>
  <c r="C10" i="8" l="1"/>
  <c r="E19" i="18"/>
  <c r="G9" i="33"/>
  <c r="C10" i="36"/>
  <c r="C10" i="39"/>
  <c r="G9" i="5"/>
  <c r="D11" i="36"/>
  <c r="E12" i="36" s="1"/>
  <c r="D12" i="39"/>
  <c r="E13" i="39" s="1"/>
  <c r="G9" i="17"/>
  <c r="C10" i="40"/>
  <c r="D11" i="40"/>
  <c r="E12" i="40" s="1"/>
  <c r="C11" i="7"/>
  <c r="C11" i="39"/>
  <c r="C11" i="19"/>
  <c r="E8" i="14"/>
  <c r="G9" i="29"/>
  <c r="E8" i="30"/>
  <c r="C10" i="35"/>
  <c r="E19" i="6"/>
  <c r="E9" i="6"/>
  <c r="E8" i="10"/>
  <c r="C11" i="11"/>
  <c r="C10" i="12"/>
  <c r="C10" i="16"/>
  <c r="G9" i="13"/>
  <c r="C10" i="15"/>
  <c r="B17" i="37"/>
  <c r="E16" i="38"/>
  <c r="A5" i="40"/>
  <c r="A6" i="39"/>
  <c r="E16" i="34"/>
  <c r="A5" i="36"/>
  <c r="A6" i="35"/>
  <c r="D17" i="33"/>
  <c r="D17" i="37"/>
  <c r="E17" i="33"/>
  <c r="E17" i="37"/>
  <c r="F17" i="33"/>
  <c r="C6" i="33" s="1"/>
  <c r="C9" i="33" s="1"/>
  <c r="F17" i="37"/>
  <c r="C6" i="37" s="1"/>
  <c r="C9" i="37" s="1"/>
  <c r="A5" i="32"/>
  <c r="A6" i="31"/>
  <c r="E16" i="30"/>
  <c r="E16" i="18"/>
  <c r="A5" i="20"/>
  <c r="A6" i="19"/>
  <c r="F17" i="29"/>
  <c r="C6" i="29" s="1"/>
  <c r="C9" i="29" s="1"/>
  <c r="A5" i="24"/>
  <c r="A6" i="23"/>
  <c r="E16" i="22"/>
  <c r="A5" i="28"/>
  <c r="A6" i="27"/>
  <c r="E16" i="26"/>
  <c r="E17" i="17"/>
  <c r="E17" i="21"/>
  <c r="E17" i="25"/>
  <c r="E17" i="29"/>
  <c r="D17" i="17"/>
  <c r="D17" i="21"/>
  <c r="D17" i="25"/>
  <c r="D17" i="29"/>
  <c r="E16" i="14"/>
  <c r="A5" i="16"/>
  <c r="A6" i="15"/>
  <c r="E14" i="10"/>
  <c r="A5" i="12"/>
  <c r="A6" i="11"/>
  <c r="D17" i="9"/>
  <c r="D17" i="13"/>
  <c r="E17" i="9"/>
  <c r="E17" i="13"/>
  <c r="F17" i="9"/>
  <c r="C6" i="9" s="1"/>
  <c r="C9" i="9" s="1"/>
  <c r="F17" i="13"/>
  <c r="C6" i="13" s="1"/>
  <c r="C9" i="13" s="1"/>
  <c r="B17" i="5"/>
  <c r="A5" i="8" s="1"/>
  <c r="E16" i="6"/>
  <c r="F17" i="5"/>
  <c r="C6" i="5" s="1"/>
  <c r="C9" i="5" s="1"/>
  <c r="D17" i="5"/>
  <c r="E17" i="5"/>
  <c r="B17" i="1"/>
  <c r="A6" i="3" s="1"/>
  <c r="F17" i="1"/>
  <c r="D17" i="1"/>
  <c r="E17" i="1"/>
  <c r="A15" i="3"/>
  <c r="A6" i="7" l="1"/>
  <c r="E14" i="38"/>
  <c r="E14" i="34"/>
  <c r="E14" i="26"/>
  <c r="E14" i="22"/>
  <c r="E14" i="18"/>
  <c r="E14" i="30"/>
  <c r="E14" i="14"/>
  <c r="E14" i="6"/>
  <c r="A5" i="4"/>
  <c r="E16" i="2"/>
  <c r="C6" i="1"/>
  <c r="C9" i="1" s="1"/>
  <c r="C18" i="25"/>
  <c r="A15" i="19"/>
  <c r="A14" i="8"/>
  <c r="A15" i="23"/>
  <c r="A15" i="39"/>
  <c r="A14" i="16"/>
  <c r="C18" i="17"/>
  <c r="C18" i="13"/>
  <c r="C18" i="37"/>
  <c r="A15" i="35"/>
  <c r="A15" i="11"/>
  <c r="C18" i="33"/>
  <c r="A15" i="15"/>
  <c r="A14" i="20"/>
  <c r="A15" i="7"/>
  <c r="A14" i="32"/>
  <c r="A14" i="40"/>
  <c r="C18" i="5"/>
  <c r="C18" i="21"/>
  <c r="A15" i="31"/>
  <c r="A14" i="36"/>
  <c r="A14" i="24"/>
  <c r="A14" i="28"/>
  <c r="C18" i="9"/>
  <c r="A14" i="12"/>
  <c r="A15" i="27"/>
  <c r="C18" i="29"/>
  <c r="C18" i="1"/>
  <c r="A14" i="4"/>
  <c r="E14" i="2"/>
</calcChain>
</file>

<file path=xl/sharedStrings.xml><?xml version="1.0" encoding="utf-8"?>
<sst xmlns="http://schemas.openxmlformats.org/spreadsheetml/2006/main" count="1270" uniqueCount="113">
  <si>
    <t xml:space="preserve">OFICE OF THE EXECUTIVE ENGINEER PWD ELECTRIC DIVISION, UDAIPUR
</t>
  </si>
  <si>
    <t>COMPARATIVE STATEMENT OF TENDERS</t>
  </si>
  <si>
    <t>Name of Work:</t>
  </si>
  <si>
    <t xml:space="preserve">Electric cabling and maintenance work in Sahelion ki Bari , Udaipur  </t>
  </si>
  <si>
    <t>NIT No.:</t>
  </si>
  <si>
    <t>Date :</t>
  </si>
  <si>
    <t>ITEM-1</t>
  </si>
  <si>
    <t>2. Amount of tender recommended for  Rs:</t>
  </si>
  <si>
    <t xml:space="preserve">3 Estimated amount of item not included in the tender Rs. : </t>
  </si>
  <si>
    <t>Nil.</t>
  </si>
  <si>
    <t>Number of tender sold :</t>
  </si>
  <si>
    <t>4. Contingencies and other provision included in the estimate Rs:</t>
  </si>
  <si>
    <t>As per rules</t>
  </si>
  <si>
    <t xml:space="preserve">Number of tender received :   </t>
  </si>
  <si>
    <t>5. Cost of work as per recommended tender Rs:</t>
  </si>
  <si>
    <t>Date of calling NIT</t>
  </si>
  <si>
    <t xml:space="preserve">6. Percentage of excess / saving over the sanctioned estimate % </t>
  </si>
  <si>
    <t>As per recommended rate.</t>
  </si>
  <si>
    <t>Date of Reciept of Tender</t>
  </si>
  <si>
    <t>S.No</t>
  </si>
  <si>
    <t>Bidder Name</t>
  </si>
  <si>
    <t>Quoted Percentage</t>
  </si>
  <si>
    <t>BELOW</t>
  </si>
  <si>
    <t>Lowest Amount Quoted BY: MEGHA CONSTRUCTION(9206492.87)</t>
  </si>
  <si>
    <t xml:space="preserve">AR                         DA                             TA                         EE </t>
  </si>
  <si>
    <t>Auditor                             Divisional Accountant                           TA                                    Executive Engineer</t>
  </si>
  <si>
    <t>Scrutiny Sheet of Tender</t>
  </si>
  <si>
    <t>Head of Account</t>
  </si>
  <si>
    <t>2</t>
  </si>
  <si>
    <t xml:space="preserve">Name of work </t>
  </si>
  <si>
    <t xml:space="preserve"> Job No.</t>
  </si>
  <si>
    <t xml:space="preserve">Reference of ADM. Sanction
</t>
  </si>
  <si>
    <t>Amount in  Rs.</t>
  </si>
  <si>
    <t>Reference of technical sanction with amount</t>
  </si>
  <si>
    <t>Date of receipt of tender</t>
  </si>
  <si>
    <t>No. of tender sold</t>
  </si>
  <si>
    <t>No. of tender received</t>
  </si>
  <si>
    <t>Allotment  of fund during the
current financial year</t>
  </si>
  <si>
    <t>Adequate.</t>
  </si>
  <si>
    <t>Expenditure up to last bill</t>
  </si>
  <si>
    <t>11</t>
  </si>
  <si>
    <t>Lowest rate quoted and condition if any</t>
  </si>
  <si>
    <t>12</t>
  </si>
  <si>
    <t>Financial implication of condition if any in tender</t>
  </si>
  <si>
    <t>Not Applicable.</t>
  </si>
  <si>
    <t>Name of lowest contractor</t>
  </si>
  <si>
    <t>14</t>
  </si>
  <si>
    <t>Authority competent to
sanction the tender</t>
  </si>
  <si>
    <t>The Executive Engineer</t>
  </si>
  <si>
    <t xml:space="preserve">Validity of tender </t>
  </si>
  <si>
    <t>20 Days</t>
  </si>
  <si>
    <t xml:space="preserve">Valid Upto Dated </t>
  </si>
  <si>
    <t>Remarks if any</t>
  </si>
  <si>
    <t>None.</t>
  </si>
  <si>
    <t>OFFICE OF THE EXECUTIVE ENGINEER PWD ELECTRIC DIVISION UDAIPUR</t>
  </si>
  <si>
    <t>Registered AD</t>
  </si>
  <si>
    <t>No.-</t>
  </si>
  <si>
    <t>Date-</t>
  </si>
  <si>
    <t xml:space="preserve">        Name of Work: </t>
  </si>
  <si>
    <t xml:space="preserve">        NIT No.: </t>
  </si>
  <si>
    <t xml:space="preserve">        NIT Date: </t>
  </si>
  <si>
    <t xml:space="preserve">        Tender Receipt Date: </t>
  </si>
  <si>
    <t xml:space="preserve">        Your Tender / Negotiations dated: </t>
  </si>
  <si>
    <t>        Dear Sir,</t>
  </si>
  <si>
    <t>        You are therefore, requested to please contact the Assistant Engineer-in-Charge and start the work. The time allowed for commencement of work shall be reckoned from 1st days after the of this order. Including tender document shall form part of the agreement and shall be treated as executed between you and the Governor of Rajasthan.</t>
  </si>
  <si>
    <t>        Agreement No.:     /2025-26</t>
  </si>
  <si>
    <t xml:space="preserve">        Stipulated date for commencement of work: </t>
  </si>
  <si>
    <t xml:space="preserve">        Stipulated date for completion of work: - </t>
  </si>
  <si>
    <t xml:space="preserve">        Administrative Sanction: - </t>
  </si>
  <si>
    <t xml:space="preserve">        Technical Sanction: - </t>
  </si>
  <si>
    <t xml:space="preserve">        Budget Provision: - </t>
  </si>
  <si>
    <t>        Yours Faithfully,</t>
  </si>
  <si>
    <t>        Executive Engineer</t>
  </si>
  <si>
    <t>        On behalf of the Governor of State of Rajasthan</t>
  </si>
  <si>
    <t>        Copy to the following for information &amp; necessary action: -</t>
  </si>
  <si>
    <t>        1. The Accountant General Raj Jaipur</t>
  </si>
  <si>
    <t>        2. The Addl Chief Engineer PWD Zone Udaipur.</t>
  </si>
  <si>
    <t xml:space="preserve">        3. The Addl Chief Engineer PWD Electrical Zone Udaipur.</t>
  </si>
  <si>
    <t xml:space="preserve">        4. The Superintending Engineer PWD Electric Circle Udaipur.</t>
  </si>
  <si>
    <t>        5. The Assistant Engineer PWD Electric Sub.Dn I/II Udaipur/Rajsamand for similar action.</t>
  </si>
  <si>
    <t>        6. The junior Engineer PWD Electric Sub Dn I/II Udaipur/Rajsamand for similar   action.</t>
  </si>
  <si>
    <t>        7. Agreement clerk with original tender for preparing agreement at the earliest.</t>
  </si>
  <si>
    <t>        8. Auditor</t>
  </si>
  <si>
    <t>        Executive Engineer,</t>
  </si>
  <si>
    <t>PWD ELECTRICAL DIVISION- UDAIPUR</t>
  </si>
  <si>
    <t>(Letter of Acceptance of Tender)</t>
  </si>
  <si>
    <t xml:space="preserve">                 Security Deposit as per rule of the gross amount of the ruining bill shall be deducted from each running bill or you may opt to deposit full amount of security deposit in the shape of bank guarantee or any acceptable form of security before or at the time of executing agreement. Kindly submit the required stamp duty of Rs. 1000/- as per rule and Deposit Additional Performance Guarantee Amounting to Rs NIL in this Office and do may sign the agreement within 3 days failing which action as per rule may be is initiated.</t>
  </si>
  <si>
    <t xml:space="preserve">               The receipt of the may please be acknowledged.</t>
  </si>
  <si>
    <t xml:space="preserve">        1. The Superintending Engineer PWD Electric Circle Udaipur.</t>
  </si>
  <si>
    <t xml:space="preserve">Name of Work: </t>
  </si>
  <si>
    <t xml:space="preserve">        2. The Assistant Engineer PWD Electric Sub. Dn I/II Udaipur/Rajsamand for similar action.</t>
  </si>
  <si>
    <t>Time for Completion Months</t>
  </si>
  <si>
    <t>1  Estimated amount for item in NIT Rs. :</t>
  </si>
  <si>
    <t>To,</t>
  </si>
  <si>
    <t>WRITTEN ORDER TO COMMENCE WORK</t>
  </si>
  <si>
    <t xml:space="preserve">AUDITOR                          
                                </t>
  </si>
  <si>
    <t>Estimated Cost Rs.</t>
  </si>
  <si>
    <t>Quoted Amount Rs.</t>
  </si>
  <si>
    <t>Earnest Money @2% Rs.</t>
  </si>
  <si>
    <t>27/2024-25</t>
  </si>
  <si>
    <t>M/s. Vikas Enterprises, Udaipur</t>
  </si>
  <si>
    <t>M/s. Powertech Engineer, Rajsamand</t>
  </si>
  <si>
    <t xml:space="preserve">M/s. Neha  Electricals, Pali </t>
  </si>
  <si>
    <t>M/s. Mitul  Enterprises, 1 1839 Neemuch Mata Scheme, Dewali, Udaipur</t>
  </si>
  <si>
    <t>ITEM-10</t>
  </si>
  <si>
    <t>ITEM-9</t>
  </si>
  <si>
    <t>ITEM-8</t>
  </si>
  <si>
    <t>ITEM-7</t>
  </si>
  <si>
    <t>ITEM-6</t>
  </si>
  <si>
    <t>ITEM-5</t>
  </si>
  <si>
    <t>ITEM-4</t>
  </si>
  <si>
    <t>ITEM-3</t>
  </si>
  <si>
    <t>ITEM-2</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</si>
</sst>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rgb="FF000000"/>
      <name val="Calibri"/>
      <family val="2"/>
      <charset val="204"/>
    </font>
    <font>
      <sz val="11"/>
      <color theme="1"/>
      <name val="Calibri"/>
      <family val="2"/>
      <scheme val="minor"/>
    </font>
    <font>
      <b/>
      <u/>
      <sz val="13"/>
      <color rgb="FF000000"/>
      <name val="Calibri"/>
      <family val="2"/>
    </font>
    <font>
      <b/>
      <sz val="11.5"/>
      <color rgb="FF000000"/>
      <name val="Calibri"/>
      <family val="2"/>
    </font>
    <font>
      <b/>
      <sz val="11"/>
      <color theme="1"/>
      <name val="Calibri"/>
      <family val="2"/>
      <scheme val="minor"/>
    </font>
    <font>
      <sz val="11"/>
      <color indexed="8"/>
      <name val="Calibri"/>
      <family val="2"/>
      <scheme val="minor"/>
    </font>
    <font>
      <b/>
      <sz val="11"/>
      <color indexed="8"/>
      <name val="Calibri"/>
      <family val="2"/>
      <scheme val="minor"/>
    </font>
    <font>
      <b/>
      <sz val="8"/>
      <name val="Arial"/>
      <family val="2"/>
    </font>
    <font>
      <sz val="8"/>
      <name val="Arial"/>
      <family val="2"/>
    </font>
    <font>
      <b/>
      <u/>
      <sz val="11"/>
      <color indexed="8"/>
      <name val="Calibri"/>
      <family val="2"/>
      <scheme val="minor"/>
    </font>
    <font>
      <b/>
      <sz val="14"/>
      <color indexed="8"/>
      <name val="Calibri"/>
      <family val="2"/>
      <scheme val="minor"/>
    </font>
    <font>
      <b/>
      <sz val="12"/>
      <color indexed="8"/>
      <name val="Calibri"/>
      <family val="2"/>
      <scheme val="minor"/>
    </font>
    <font>
      <b/>
      <sz val="11"/>
      <color rgb="FF000000"/>
      <name val="Calibri"/>
      <family val="2"/>
    </font>
    <font>
      <b/>
      <sz val="11.5"/>
      <color rgb="FF000000"/>
      <name val="Calibri"/>
      <family val="1"/>
    </font>
    <font>
      <sz val="11"/>
      <color rgb="FFFF0000"/>
      <name val="Calibri"/>
      <family val="2"/>
      <charset val="204"/>
    </font>
    <font>
      <b/>
      <sz val="11"/>
      <color rgb="FFFF0000"/>
      <name val="Calibri"/>
      <family val="2"/>
    </font>
    <font>
      <sz val="11"/>
      <color rgb="FF000000"/>
      <name val="Calibri"/>
      <family val="2"/>
      <charset val="204"/>
    </font>
    <font>
      <b/>
      <u/>
      <sz val="11"/>
      <color rgb="FF000000"/>
      <name val="Calibri"/>
      <family val="2"/>
    </font>
    <font>
      <sz val="12"/>
      <color rgb="FF000000"/>
      <name val="Calibri"/>
      <family val="2"/>
      <charset val="204"/>
    </font>
    <font>
      <sz val="14"/>
      <color rgb="FF000000"/>
      <name val="Calibri"/>
      <family val="2"/>
      <charset val="204"/>
    </font>
    <font>
      <sz val="8"/>
      <color rgb="FFFF0000"/>
      <name val="Arial"/>
      <family val="2"/>
    </font>
    <font>
      <b/>
      <sz val="10"/>
      <color theme="1"/>
      <name val="Calibri"/>
      <family val="2"/>
      <scheme val="minor"/>
    </font>
    <font>
      <sz val="10"/>
      <color rgb="FF000000"/>
      <name val="Calibri"/>
      <family val="2"/>
    </font>
    <font>
      <b/>
      <sz val="11"/>
      <name val="Arial"/>
      <family val="2"/>
    </font>
    <font>
      <b/>
      <sz val="10"/>
      <color indexed="8"/>
      <name val="Calibri"/>
      <family val="2"/>
      <scheme val="minor"/>
    </font>
    <font>
      <sz val="10"/>
      <color indexed="8"/>
      <name val="Calibri"/>
      <family val="2"/>
      <scheme val="minor"/>
    </font>
    <font>
      <b/>
      <sz val="10"/>
      <color rgb="FFFF0000"/>
      <name val="Calibri"/>
      <family val="2"/>
      <scheme val="minor"/>
    </font>
    <font>
      <b/>
      <sz val="10"/>
      <color rgb="FF00B0F0"/>
      <name val="Calibri"/>
      <family val="2"/>
      <scheme val="minor"/>
    </font>
    <font>
      <b/>
      <sz val="11"/>
      <color rgb="FFFF0000"/>
      <name val="Arial"/>
      <family val="2"/>
    </font>
    <font>
      <sz val="10"/>
      <color rgb="FFFF0000"/>
      <name val="Calibri"/>
      <family val="2"/>
      <scheme val="minor"/>
    </font>
    <font>
      <sz val="10"/>
      <color rgb="FFFF0000"/>
      <name val="Calibri"/>
      <family val="2"/>
    </font>
  </fonts>
  <fills count="2">
    <fill>
      <patternFill patternType="none"/>
    </fill>
    <fill>
      <patternFill patternType="gray125"/>
    </fill>
  </fills>
  <borders count="33">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top/>
      <bottom/>
      <diagonal/>
    </border>
    <border>
      <left style="thin">
        <color indexed="64"/>
      </left>
      <right style="thin">
        <color indexed="64"/>
      </right>
      <top style="thin">
        <color indexed="64"/>
      </top>
      <bottom style="thin">
        <color indexed="64"/>
      </bottom>
      <diagonal/>
    </border>
    <border>
      <left style="thin">
        <color auto="1"/>
      </left>
      <right style="thin">
        <color indexed="8"/>
      </right>
      <top style="thin">
        <color indexed="8"/>
      </top>
      <bottom style="thin">
        <color indexed="8"/>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8"/>
      </left>
      <right/>
      <top style="thin">
        <color indexed="8"/>
      </top>
      <bottom style="thin">
        <color indexed="8"/>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style="thin">
        <color indexed="8"/>
      </top>
      <bottom style="thin">
        <color indexed="8"/>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rgb="FF000000"/>
      </right>
      <top style="thin">
        <color rgb="FF000000"/>
      </top>
      <bottom/>
      <diagonal/>
    </border>
    <border>
      <left/>
      <right/>
      <top/>
      <bottom style="thin">
        <color rgb="FF000000"/>
      </bottom>
      <diagonal/>
    </border>
    <border>
      <left/>
      <right style="thin">
        <color rgb="FF000000"/>
      </right>
      <top/>
      <bottom style="thin">
        <color rgb="FF000000"/>
      </bottom>
      <diagonal/>
    </border>
  </borders>
  <cellStyleXfs count="4">
    <xf numFmtId="0" fontId="0" fillId="0" borderId="4"/>
    <xf numFmtId="0" fontId="5" fillId="0" borderId="4"/>
    <xf numFmtId="0" fontId="1" fillId="0" borderId="4"/>
    <xf numFmtId="0" fontId="16" fillId="0" borderId="4"/>
  </cellStyleXfs>
  <cellXfs count="145">
    <xf numFmtId="0" fontId="0" fillId="0" borderId="0" xfId="0" applyBorder="1"/>
    <xf numFmtId="1" fontId="3" fillId="0" borderId="1" xfId="0" applyNumberFormat="1" applyFont="1" applyBorder="1" applyAlignment="1">
      <alignment horizontal="center" vertical="top"/>
    </xf>
    <xf numFmtId="0" fontId="3" fillId="0" borderId="1" xfId="0" applyFont="1" applyBorder="1" applyAlignment="1">
      <alignment horizontal="left" vertical="top"/>
    </xf>
    <xf numFmtId="0" fontId="0" fillId="0" borderId="1" xfId="0" applyBorder="1" applyAlignment="1">
      <alignment horizontal="left" vertical="top"/>
    </xf>
    <xf numFmtId="0" fontId="3" fillId="0" borderId="1" xfId="0" applyFont="1" applyBorder="1" applyAlignment="1">
      <alignment horizontal="left" vertical="top" wrapText="1"/>
    </xf>
    <xf numFmtId="1" fontId="3" fillId="0" borderId="1" xfId="0" applyNumberFormat="1" applyFont="1" applyBorder="1" applyAlignment="1">
      <alignment horizontal="left" vertical="top"/>
    </xf>
    <xf numFmtId="0" fontId="5" fillId="0" borderId="4" xfId="1" applyProtection="1">
      <protection locked="0"/>
    </xf>
    <xf numFmtId="0" fontId="6" fillId="0" borderId="4" xfId="1" applyFont="1" applyAlignment="1" applyProtection="1">
      <alignment vertical="top"/>
      <protection locked="0"/>
    </xf>
    <xf numFmtId="0" fontId="5" fillId="0" borderId="4" xfId="1" applyAlignment="1" applyProtection="1">
      <alignment horizontal="right"/>
      <protection locked="0"/>
    </xf>
    <xf numFmtId="0" fontId="5" fillId="0" borderId="4" xfId="1" applyAlignment="1" applyProtection="1">
      <alignment vertical="top"/>
      <protection locked="0"/>
    </xf>
    <xf numFmtId="0" fontId="7" fillId="0" borderId="5" xfId="1" applyFont="1" applyBorder="1" applyAlignment="1" applyProtection="1">
      <alignment horizontal="center" vertical="top" wrapText="1"/>
      <protection locked="0"/>
    </xf>
    <xf numFmtId="0" fontId="5" fillId="0" borderId="5" xfId="1" applyBorder="1" applyAlignment="1" applyProtection="1">
      <alignment horizontal="center" vertical="top" wrapText="1"/>
      <protection locked="0"/>
    </xf>
    <xf numFmtId="0" fontId="8" fillId="0" borderId="6" xfId="1" applyFont="1" applyBorder="1" applyAlignment="1" applyProtection="1">
      <alignment horizontal="left" vertical="top" wrapText="1"/>
      <protection locked="0"/>
    </xf>
    <xf numFmtId="0" fontId="10" fillId="0" borderId="4" xfId="1" applyFont="1" applyProtection="1">
      <protection locked="0"/>
    </xf>
    <xf numFmtId="0" fontId="11" fillId="0" borderId="4" xfId="1" applyFont="1" applyProtection="1">
      <protection locked="0"/>
    </xf>
    <xf numFmtId="0" fontId="12" fillId="0" borderId="1" xfId="0" applyFont="1" applyBorder="1" applyAlignment="1">
      <alignment horizontal="left" vertical="top"/>
    </xf>
    <xf numFmtId="0" fontId="0" fillId="0" borderId="0" xfId="0" applyBorder="1" applyAlignment="1">
      <alignment vertical="top" wrapText="1"/>
    </xf>
    <xf numFmtId="1" fontId="3" fillId="0" borderId="4" xfId="0" applyNumberFormat="1" applyFont="1" applyAlignment="1">
      <alignment horizontal="center" vertical="top"/>
    </xf>
    <xf numFmtId="0" fontId="3" fillId="0" borderId="4" xfId="0" applyFont="1" applyAlignment="1">
      <alignment horizontal="left" vertical="top"/>
    </xf>
    <xf numFmtId="0" fontId="8" fillId="0" borderId="6" xfId="1" applyFont="1" applyBorder="1" applyAlignment="1" applyProtection="1">
      <alignment horizontal="right" vertical="top" wrapText="1"/>
      <protection locked="0"/>
    </xf>
    <xf numFmtId="14" fontId="3" fillId="0" borderId="1" xfId="0" applyNumberFormat="1" applyFont="1" applyBorder="1" applyAlignment="1">
      <alignment horizontal="left" vertical="top"/>
    </xf>
    <xf numFmtId="0" fontId="14" fillId="0" borderId="1" xfId="0" applyFont="1" applyBorder="1" applyAlignment="1">
      <alignment horizontal="left" vertical="top"/>
    </xf>
    <xf numFmtId="2" fontId="5" fillId="0" borderId="4" xfId="1" applyNumberFormat="1" applyProtection="1">
      <protection locked="0"/>
    </xf>
    <xf numFmtId="2" fontId="8" fillId="0" borderId="6" xfId="1" applyNumberFormat="1" applyFont="1" applyBorder="1" applyAlignment="1" applyProtection="1">
      <alignment horizontal="right" vertical="top" wrapText="1"/>
      <protection locked="0"/>
    </xf>
    <xf numFmtId="2" fontId="10" fillId="0" borderId="4" xfId="1" applyNumberFormat="1" applyFont="1" applyProtection="1">
      <protection locked="0"/>
    </xf>
    <xf numFmtId="0" fontId="9" fillId="0" borderId="10" xfId="1" applyFont="1" applyBorder="1" applyAlignment="1" applyProtection="1">
      <alignment vertical="top" wrapText="1"/>
      <protection locked="0"/>
    </xf>
    <xf numFmtId="0" fontId="14" fillId="0" borderId="5" xfId="0" applyFont="1" applyBorder="1"/>
    <xf numFmtId="2" fontId="14" fillId="0" borderId="5" xfId="0" applyNumberFormat="1" applyFont="1" applyBorder="1"/>
    <xf numFmtId="0" fontId="5" fillId="0" borderId="13" xfId="1" applyBorder="1" applyAlignment="1" applyProtection="1">
      <alignment horizontal="left" vertical="top" wrapText="1"/>
      <protection locked="0"/>
    </xf>
    <xf numFmtId="0" fontId="8" fillId="0" borderId="18" xfId="1" applyFont="1" applyBorder="1" applyAlignment="1" applyProtection="1">
      <alignment horizontal="left" vertical="top" wrapText="1"/>
      <protection locked="0"/>
    </xf>
    <xf numFmtId="0" fontId="0" fillId="0" borderId="1" xfId="0" applyBorder="1" applyAlignment="1">
      <alignment horizontal="left" vertical="top" wrapText="1"/>
    </xf>
    <xf numFmtId="0" fontId="3" fillId="0" borderId="8" xfId="0" applyFont="1" applyBorder="1" applyAlignment="1">
      <alignment horizontal="left" vertical="top"/>
    </xf>
    <xf numFmtId="14" fontId="3" fillId="0" borderId="8" xfId="0" applyNumberFormat="1" applyFont="1" applyBorder="1" applyAlignment="1">
      <alignment horizontal="left" vertical="top"/>
    </xf>
    <xf numFmtId="0" fontId="3" fillId="0" borderId="20" xfId="0" applyFont="1" applyBorder="1" applyAlignment="1">
      <alignment horizontal="left" vertical="top"/>
    </xf>
    <xf numFmtId="1" fontId="3" fillId="0" borderId="20" xfId="0" applyNumberFormat="1" applyFont="1" applyBorder="1" applyAlignment="1">
      <alignment horizontal="center" vertical="top"/>
    </xf>
    <xf numFmtId="1" fontId="3" fillId="0" borderId="21" xfId="0" applyNumberFormat="1" applyFont="1" applyBorder="1" applyAlignment="1">
      <alignment horizontal="center" vertical="top"/>
    </xf>
    <xf numFmtId="1" fontId="3" fillId="0" borderId="22" xfId="0" applyNumberFormat="1" applyFont="1" applyBorder="1" applyAlignment="1">
      <alignment horizontal="center" vertical="top"/>
    </xf>
    <xf numFmtId="0" fontId="3" fillId="0" borderId="19" xfId="0" applyFont="1" applyBorder="1" applyAlignment="1">
      <alignment horizontal="left" vertical="top"/>
    </xf>
    <xf numFmtId="0" fontId="15" fillId="0" borderId="5" xfId="0" applyFont="1" applyBorder="1" applyAlignment="1">
      <alignment vertical="top"/>
    </xf>
    <xf numFmtId="0" fontId="16" fillId="0" borderId="4" xfId="3" applyAlignment="1">
      <alignment horizontal="center"/>
    </xf>
    <xf numFmtId="0" fontId="16" fillId="0" borderId="4" xfId="3"/>
    <xf numFmtId="0" fontId="17" fillId="0" borderId="4" xfId="3" applyFont="1" applyAlignment="1">
      <alignment horizontal="center"/>
    </xf>
    <xf numFmtId="0" fontId="0" fillId="0" borderId="4" xfId="3" applyFont="1" applyAlignment="1">
      <alignment horizontal="center"/>
    </xf>
    <xf numFmtId="0" fontId="12" fillId="0" borderId="4" xfId="3" applyFont="1"/>
    <xf numFmtId="0" fontId="16" fillId="0" borderId="4" xfId="3" applyAlignment="1">
      <alignment vertical="top"/>
    </xf>
    <xf numFmtId="14" fontId="16" fillId="0" borderId="4" xfId="3" applyNumberFormat="1"/>
    <xf numFmtId="0" fontId="18" fillId="0" borderId="4" xfId="3" applyFont="1" applyAlignment="1">
      <alignment vertical="top"/>
    </xf>
    <xf numFmtId="0" fontId="18" fillId="0" borderId="4" xfId="3" applyFont="1"/>
    <xf numFmtId="14" fontId="18" fillId="0" borderId="4" xfId="3" applyNumberFormat="1" applyFont="1"/>
    <xf numFmtId="0" fontId="18" fillId="0" borderId="4" xfId="3" applyFont="1" applyAlignment="1">
      <alignment horizontal="center"/>
    </xf>
    <xf numFmtId="0" fontId="5" fillId="0" borderId="4" xfId="1" applyAlignment="1" applyProtection="1">
      <alignment horizontal="center"/>
      <protection locked="0"/>
    </xf>
    <xf numFmtId="0" fontId="18" fillId="0" borderId="4" xfId="3" applyFont="1" applyAlignment="1">
      <alignment horizontal="left" vertical="top"/>
    </xf>
    <xf numFmtId="0" fontId="18" fillId="0" borderId="5" xfId="3" applyFont="1" applyBorder="1"/>
    <xf numFmtId="0" fontId="0" fillId="0" borderId="4" xfId="3" applyFont="1"/>
    <xf numFmtId="0" fontId="20" fillId="0" borderId="6" xfId="1" applyFont="1" applyBorder="1" applyAlignment="1" applyProtection="1">
      <alignment horizontal="right" vertical="top" wrapText="1"/>
      <protection locked="0"/>
    </xf>
    <xf numFmtId="0" fontId="3" fillId="0" borderId="1" xfId="0" applyFont="1" applyBorder="1" applyAlignment="1">
      <alignment horizontal="center" vertical="top" wrapText="1"/>
    </xf>
    <xf numFmtId="0" fontId="3" fillId="0" borderId="19" xfId="0" applyFont="1" applyBorder="1" applyAlignment="1">
      <alignment horizontal="center" vertical="top" wrapText="1"/>
    </xf>
    <xf numFmtId="0" fontId="21" fillId="0" borderId="4" xfId="1" applyFont="1" applyAlignment="1" applyProtection="1">
      <alignment horizontal="left" vertical="top" wrapText="1"/>
      <protection locked="0"/>
    </xf>
    <xf numFmtId="0" fontId="24" fillId="0" borderId="4" xfId="1" applyFont="1" applyAlignment="1" applyProtection="1">
      <alignment horizontal="left"/>
      <protection locked="0"/>
    </xf>
    <xf numFmtId="0" fontId="25" fillId="0" borderId="4" xfId="1" applyFont="1" applyProtection="1">
      <protection locked="0"/>
    </xf>
    <xf numFmtId="14" fontId="25" fillId="0" borderId="5" xfId="1" applyNumberFormat="1" applyFont="1" applyBorder="1" applyAlignment="1" applyProtection="1">
      <alignment horizontal="left"/>
      <protection locked="0"/>
    </xf>
    <xf numFmtId="0" fontId="25" fillId="0" borderId="21" xfId="1" applyFont="1" applyBorder="1" applyProtection="1">
      <protection locked="0"/>
    </xf>
    <xf numFmtId="0" fontId="21" fillId="0" borderId="4" xfId="1" applyFont="1" applyAlignment="1" applyProtection="1">
      <alignment vertical="top"/>
      <protection locked="0"/>
    </xf>
    <xf numFmtId="0" fontId="21" fillId="0" borderId="4" xfId="1" applyFont="1" applyAlignment="1" applyProtection="1">
      <alignment horizontal="left" vertical="top"/>
      <protection locked="0"/>
    </xf>
    <xf numFmtId="0" fontId="21" fillId="0" borderId="5" xfId="1" applyFont="1" applyBorder="1" applyAlignment="1" applyProtection="1">
      <alignment vertical="top" wrapText="1"/>
      <protection locked="0"/>
    </xf>
    <xf numFmtId="0" fontId="26" fillId="0" borderId="5" xfId="1" applyFont="1" applyBorder="1" applyAlignment="1" applyProtection="1">
      <alignment horizontal="left" vertical="top" wrapText="1"/>
      <protection locked="0"/>
    </xf>
    <xf numFmtId="0" fontId="27" fillId="0" borderId="4" xfId="1" applyFont="1" applyAlignment="1" applyProtection="1">
      <alignment horizontal="left" vertical="top"/>
      <protection locked="0"/>
    </xf>
    <xf numFmtId="0" fontId="22" fillId="0" borderId="5" xfId="0" applyFont="1" applyBorder="1" applyAlignment="1" applyProtection="1">
      <alignment vertical="top"/>
      <protection locked="0"/>
    </xf>
    <xf numFmtId="0" fontId="21" fillId="0" borderId="4" xfId="1" applyFont="1" applyAlignment="1" applyProtection="1">
      <alignment horizontal="right" vertical="top" wrapText="1"/>
      <protection locked="0"/>
    </xf>
    <xf numFmtId="0" fontId="21" fillId="0" borderId="22" xfId="1" applyFont="1" applyBorder="1" applyAlignment="1" applyProtection="1">
      <alignment vertical="top" wrapText="1"/>
      <protection locked="0"/>
    </xf>
    <xf numFmtId="2" fontId="21" fillId="0" borderId="4" xfId="1" applyNumberFormat="1" applyFont="1" applyAlignment="1" applyProtection="1">
      <alignment horizontal="left" vertical="top" wrapText="1"/>
      <protection locked="0"/>
    </xf>
    <xf numFmtId="0" fontId="27" fillId="0" borderId="4" xfId="1" applyFont="1" applyAlignment="1" applyProtection="1">
      <alignment horizontal="left" vertical="top" wrapText="1"/>
      <protection locked="0"/>
    </xf>
    <xf numFmtId="14" fontId="21" fillId="0" borderId="5" xfId="1" applyNumberFormat="1" applyFont="1" applyBorder="1" applyAlignment="1" applyProtection="1">
      <alignment vertical="top" wrapText="1"/>
      <protection locked="0"/>
    </xf>
    <xf numFmtId="0" fontId="0" fillId="0" borderId="4" xfId="0" applyProtection="1">
      <protection locked="0"/>
    </xf>
    <xf numFmtId="1" fontId="28" fillId="0" borderId="5" xfId="1" applyNumberFormat="1" applyFont="1" applyBorder="1" applyAlignment="1" applyProtection="1">
      <alignment horizontal="center"/>
      <protection locked="0"/>
    </xf>
    <xf numFmtId="0" fontId="29" fillId="0" borderId="21" xfId="1" applyFont="1" applyBorder="1" applyProtection="1">
      <protection locked="0"/>
    </xf>
    <xf numFmtId="14" fontId="26" fillId="0" borderId="5" xfId="1" applyNumberFormat="1" applyFont="1" applyBorder="1" applyAlignment="1" applyProtection="1">
      <alignment vertical="top" wrapText="1"/>
      <protection locked="0"/>
    </xf>
    <xf numFmtId="0" fontId="29" fillId="0" borderId="4" xfId="1" applyFont="1" applyProtection="1">
      <protection locked="0"/>
    </xf>
    <xf numFmtId="14" fontId="29" fillId="0" borderId="5" xfId="1" applyNumberFormat="1" applyFont="1" applyBorder="1" applyAlignment="1" applyProtection="1">
      <alignment horizontal="left"/>
      <protection locked="0"/>
    </xf>
    <xf numFmtId="14" fontId="29" fillId="0" borderId="4" xfId="1" applyNumberFormat="1" applyFont="1" applyProtection="1">
      <protection locked="0"/>
    </xf>
    <xf numFmtId="0" fontId="10" fillId="0" borderId="4" xfId="1" applyFont="1" applyAlignment="1" applyProtection="1">
      <alignment horizontal="center"/>
      <protection locked="0"/>
    </xf>
    <xf numFmtId="0" fontId="0" fillId="0" borderId="0" xfId="0" applyBorder="1" applyProtection="1">
      <protection locked="0"/>
    </xf>
    <xf numFmtId="0" fontId="5" fillId="0" borderId="4" xfId="1" applyAlignment="1" applyProtection="1">
      <alignment horizontal="center"/>
      <protection locked="0"/>
    </xf>
    <xf numFmtId="0" fontId="21" fillId="0" borderId="4" xfId="1" applyFont="1" applyAlignment="1" applyProtection="1">
      <alignment horizontal="left" vertical="top"/>
      <protection locked="0"/>
    </xf>
    <xf numFmtId="0" fontId="22" fillId="0" borderId="0" xfId="0" applyFont="1" applyBorder="1" applyProtection="1">
      <protection locked="0"/>
    </xf>
    <xf numFmtId="1" fontId="26" fillId="0" borderId="4" xfId="1" applyNumberFormat="1" applyFont="1" applyAlignment="1" applyProtection="1">
      <alignment horizontal="left" vertical="top"/>
      <protection locked="0"/>
    </xf>
    <xf numFmtId="1" fontId="22" fillId="0" borderId="0" xfId="0" applyNumberFormat="1" applyFont="1" applyBorder="1" applyProtection="1">
      <protection locked="0"/>
    </xf>
    <xf numFmtId="0" fontId="21" fillId="0" borderId="4" xfId="1" applyFont="1" applyAlignment="1" applyProtection="1">
      <alignment horizontal="left" vertical="top" wrapText="1"/>
      <protection locked="0"/>
    </xf>
    <xf numFmtId="1" fontId="26" fillId="0" borderId="4" xfId="1" applyNumberFormat="1" applyFont="1" applyAlignment="1" applyProtection="1">
      <alignment horizontal="left" vertical="top" wrapText="1"/>
      <protection locked="0"/>
    </xf>
    <xf numFmtId="0" fontId="5" fillId="0" borderId="9" xfId="1" applyBorder="1" applyAlignment="1" applyProtection="1">
      <alignment horizontal="center" vertical="top" wrapText="1"/>
      <protection locked="0"/>
    </xf>
    <xf numFmtId="0" fontId="0" fillId="0" borderId="17" xfId="0" applyBorder="1" applyProtection="1">
      <protection locked="0"/>
    </xf>
    <xf numFmtId="0" fontId="5" fillId="0" borderId="27" xfId="1" applyBorder="1" applyAlignment="1" applyProtection="1">
      <alignment horizontal="left" vertical="top" wrapText="1"/>
      <protection locked="0"/>
    </xf>
    <xf numFmtId="0" fontId="0" fillId="0" borderId="11" xfId="0" applyBorder="1" applyProtection="1">
      <protection locked="0"/>
    </xf>
    <xf numFmtId="0" fontId="0" fillId="0" borderId="12" xfId="0" applyBorder="1" applyProtection="1">
      <protection locked="0"/>
    </xf>
    <xf numFmtId="0" fontId="5" fillId="0" borderId="28" xfId="1" applyBorder="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1" fontId="7" fillId="0" borderId="5" xfId="1" applyNumberFormat="1" applyFont="1" applyBorder="1" applyAlignment="1" applyProtection="1">
      <alignment horizontal="center" vertical="top" wrapText="1"/>
      <protection locked="0"/>
    </xf>
    <xf numFmtId="0" fontId="0" fillId="0" borderId="29" xfId="0" applyBorder="1" applyProtection="1">
      <protection locked="0"/>
    </xf>
    <xf numFmtId="0" fontId="5" fillId="0" borderId="14" xfId="1" applyBorder="1" applyAlignment="1" applyProtection="1">
      <alignment horizontal="left" vertical="top" wrapText="1"/>
      <protection locked="0"/>
    </xf>
    <xf numFmtId="0" fontId="0" fillId="0" borderId="14" xfId="0" applyBorder="1" applyProtection="1">
      <protection locked="0"/>
    </xf>
    <xf numFmtId="0" fontId="7" fillId="0" borderId="5" xfId="1" applyFont="1" applyBorder="1" applyAlignment="1" applyProtection="1">
      <alignment horizontal="center" vertical="top" wrapText="1"/>
      <protection locked="0"/>
    </xf>
    <xf numFmtId="0" fontId="23" fillId="0" borderId="4" xfId="1" applyFont="1" applyAlignment="1" applyProtection="1">
      <alignment horizontal="center" vertical="top" wrapText="1"/>
      <protection locked="0"/>
    </xf>
    <xf numFmtId="0" fontId="16" fillId="0" borderId="0" xfId="0" applyFont="1" applyBorder="1" applyProtection="1">
      <protection locked="0"/>
    </xf>
    <xf numFmtId="0" fontId="4" fillId="0" borderId="4" xfId="1" applyFont="1" applyAlignment="1" applyProtection="1">
      <alignment horizontal="center" vertical="center"/>
      <protection locked="0"/>
    </xf>
    <xf numFmtId="0" fontId="25" fillId="0" borderId="4" xfId="1" applyFont="1" applyAlignment="1" applyProtection="1">
      <alignment horizontal="right"/>
      <protection locked="0"/>
    </xf>
    <xf numFmtId="0" fontId="11" fillId="0" borderId="4" xfId="1" applyFont="1" applyAlignment="1" applyProtection="1">
      <alignment horizontal="left" vertical="top" wrapText="1"/>
      <protection locked="0"/>
    </xf>
    <xf numFmtId="0" fontId="3" fillId="0" borderId="22" xfId="0" applyFont="1" applyBorder="1" applyAlignment="1">
      <alignment horizontal="right" vertical="top"/>
    </xf>
    <xf numFmtId="0" fontId="0" fillId="0" borderId="25" xfId="0" applyBorder="1"/>
    <xf numFmtId="0" fontId="0" fillId="0" borderId="26" xfId="0" applyBorder="1"/>
    <xf numFmtId="0" fontId="3" fillId="0" borderId="20" xfId="0" applyFont="1" applyBorder="1" applyAlignment="1">
      <alignment horizontal="left" vertical="top"/>
    </xf>
    <xf numFmtId="0" fontId="0" fillId="0" borderId="31" xfId="0" applyBorder="1"/>
    <xf numFmtId="0" fontId="0" fillId="0" borderId="32" xfId="0" applyBorder="1"/>
    <xf numFmtId="0" fontId="3" fillId="0" borderId="4" xfId="0" applyFont="1" applyAlignment="1">
      <alignment horizontal="center" vertical="center" wrapText="1"/>
    </xf>
    <xf numFmtId="0" fontId="0" fillId="0" borderId="0" xfId="0" applyBorder="1" applyAlignment="1">
      <alignment vertical="top" wrapText="1"/>
    </xf>
    <xf numFmtId="0" fontId="0" fillId="0" borderId="0" xfId="0" applyBorder="1"/>
    <xf numFmtId="0" fontId="3" fillId="0" borderId="1" xfId="0" applyFont="1" applyBorder="1" applyAlignment="1">
      <alignment horizontal="left" vertical="top"/>
    </xf>
    <xf numFmtId="0" fontId="0" fillId="0" borderId="7" xfId="0" applyBorder="1"/>
    <xf numFmtId="0" fontId="0" fillId="0" borderId="8" xfId="0" applyBorder="1"/>
    <xf numFmtId="0" fontId="3" fillId="0" borderId="1" xfId="0" applyFont="1" applyBorder="1" applyAlignment="1">
      <alignment horizontal="left" vertical="top" wrapText="1"/>
    </xf>
    <xf numFmtId="0" fontId="3" fillId="0" borderId="2" xfId="0" applyFont="1" applyBorder="1" applyAlignment="1">
      <alignment horizontal="left" vertical="top" wrapText="1"/>
    </xf>
    <xf numFmtId="0" fontId="0" fillId="0" borderId="3" xfId="0" applyBorder="1"/>
    <xf numFmtId="0" fontId="3" fillId="0" borderId="21" xfId="0" applyFont="1" applyBorder="1" applyAlignment="1">
      <alignment horizontal="left" vertical="top"/>
    </xf>
    <xf numFmtId="0" fontId="0" fillId="0" borderId="23" xfId="0" applyBorder="1"/>
    <xf numFmtId="0" fontId="0" fillId="0" borderId="24" xfId="0" applyBorder="1"/>
    <xf numFmtId="0" fontId="3" fillId="0" borderId="19" xfId="0" applyFont="1" applyBorder="1" applyAlignment="1">
      <alignment horizontal="left" vertical="top" wrapText="1"/>
    </xf>
    <xf numFmtId="0" fontId="0" fillId="0" borderId="30" xfId="0" applyBorder="1"/>
    <xf numFmtId="0" fontId="2" fillId="0" borderId="4" xfId="0" applyFont="1" applyAlignment="1">
      <alignment horizontal="center" vertical="top"/>
    </xf>
    <xf numFmtId="0" fontId="13" fillId="0" borderId="1" xfId="0" applyFont="1" applyBorder="1" applyAlignment="1">
      <alignment horizontal="right" vertical="top" wrapText="1"/>
    </xf>
    <xf numFmtId="0" fontId="3" fillId="0" borderId="1" xfId="0" applyFont="1" applyBorder="1" applyAlignment="1">
      <alignment horizontal="right" vertical="top" wrapText="1"/>
    </xf>
    <xf numFmtId="14" fontId="16" fillId="0" borderId="4" xfId="3" applyNumberFormat="1" applyAlignment="1">
      <alignment horizontal="center"/>
    </xf>
    <xf numFmtId="0" fontId="16" fillId="0" borderId="4" xfId="3"/>
    <xf numFmtId="0" fontId="16" fillId="0" borderId="4" xfId="3" applyAlignment="1">
      <alignment horizontal="center"/>
    </xf>
    <xf numFmtId="0" fontId="0" fillId="0" borderId="4" xfId="3" applyFont="1" applyAlignment="1">
      <alignment horizontal="center"/>
    </xf>
    <xf numFmtId="0" fontId="16" fillId="0" borderId="4" xfId="3" applyAlignment="1">
      <alignment horizontal="left" vertical="top" wrapText="1"/>
    </xf>
    <xf numFmtId="0" fontId="16" fillId="0" borderId="4" xfId="3" applyAlignment="1">
      <alignment horizontal="justify" vertical="top" wrapText="1"/>
    </xf>
    <xf numFmtId="0" fontId="18" fillId="0" borderId="4" xfId="3" applyFont="1" applyAlignment="1">
      <alignment horizontal="justify" vertical="top" wrapText="1"/>
    </xf>
    <xf numFmtId="0" fontId="18" fillId="0" borderId="4" xfId="3" applyFont="1"/>
    <xf numFmtId="0" fontId="18" fillId="0" borderId="4" xfId="3" applyFont="1" applyAlignment="1">
      <alignment horizontal="center"/>
    </xf>
    <xf numFmtId="0" fontId="19" fillId="0" borderId="4" xfId="3" applyFont="1" applyAlignment="1">
      <alignment horizontal="center"/>
    </xf>
    <xf numFmtId="0" fontId="19" fillId="0" borderId="4" xfId="3" applyFont="1"/>
    <xf numFmtId="0" fontId="18" fillId="0" borderId="4" xfId="3" applyFont="1" applyAlignment="1">
      <alignment horizontal="left" vertical="top" wrapText="1"/>
    </xf>
    <xf numFmtId="0" fontId="29" fillId="0" borderId="4" xfId="1" applyFont="1" applyAlignment="1" applyProtection="1">
      <alignment horizontal="right"/>
      <protection locked="0"/>
    </xf>
    <xf numFmtId="0" fontId="30" fillId="0" borderId="0" xfId="0" applyFont="1" applyBorder="1" applyProtection="1">
      <protection locked="0"/>
    </xf>
    <xf numFmtId="0" fontId="26" fillId="0" borderId="4" xfId="1" applyFont="1" applyAlignment="1" applyProtection="1">
      <alignment horizontal="left" vertical="top"/>
      <protection locked="0"/>
    </xf>
  </cellXfs>
  <cellStyles count="4">
    <cellStyle name="Normal" xfId="0" builtinId="0"/>
    <cellStyle name="Normal 2" xfId="1"/>
    <cellStyle name="Normal 3" xfId="2"/>
    <cellStyle name="Normal 5"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G25"/>
  <sheetViews>
    <sheetView view="pageBreakPreview" zoomScaleNormal="100" zoomScaleSheetLayoutView="100" workbookViewId="0">
      <selection activeCell="K10" sqref="K10"/>
    </sheetView>
  </sheetViews>
  <sheetFormatPr defaultColWidth="9.140625" defaultRowHeight="15" x14ac:dyDescent="0.25"/>
  <cols>
    <col min="1" max="1" width="9.140625" style="6" customWidth="1"/>
    <col min="2" max="2" width="49.28515625" style="6" customWidth="1"/>
    <col min="3" max="3" width="12.7109375" style="6" customWidth="1"/>
    <col min="4" max="4" width="9" style="6" customWidth="1"/>
    <col min="5" max="5" width="6.7109375" style="22" customWidth="1"/>
    <col min="6" max="6" width="26" style="6" customWidth="1"/>
    <col min="7" max="7" width="14.28515625" style="6" customWidth="1"/>
    <col min="8" max="16384" width="9.140625" style="6"/>
  </cols>
  <sheetData>
    <row r="1" spans="1:7" x14ac:dyDescent="0.25">
      <c r="A1" s="102" t="s">
        <v>0</v>
      </c>
      <c r="B1" s="103"/>
      <c r="C1" s="103"/>
      <c r="D1" s="103"/>
      <c r="E1" s="103"/>
      <c r="F1" s="103"/>
      <c r="G1" s="103"/>
    </row>
    <row r="2" spans="1:7" ht="15.6" customHeight="1" x14ac:dyDescent="0.25">
      <c r="A2" s="104" t="s">
        <v>1</v>
      </c>
      <c r="B2" s="103"/>
      <c r="C2" s="103"/>
      <c r="D2" s="103"/>
      <c r="E2" s="103"/>
      <c r="F2" s="103"/>
      <c r="G2" s="103"/>
    </row>
    <row r="3" spans="1:7" ht="31.15" customHeight="1" x14ac:dyDescent="0.25">
      <c r="A3" s="7" t="s">
        <v>2</v>
      </c>
      <c r="C3" s="106" t="s">
        <v>3</v>
      </c>
      <c r="D3" s="106"/>
      <c r="E3" s="106"/>
      <c r="F3" s="106"/>
      <c r="G3" s="106"/>
    </row>
    <row r="4" spans="1:7" x14ac:dyDescent="0.25">
      <c r="A4" s="58" t="s">
        <v>4</v>
      </c>
      <c r="B4" s="59" t="s">
        <v>99</v>
      </c>
      <c r="C4" s="105" t="s">
        <v>5</v>
      </c>
      <c r="D4" s="84"/>
      <c r="E4" s="84"/>
      <c r="F4" s="60">
        <v>45728</v>
      </c>
      <c r="G4" s="61" t="s">
        <v>6</v>
      </c>
    </row>
    <row r="5" spans="1:7" s="9" customFormat="1" x14ac:dyDescent="0.2">
      <c r="A5" s="62" t="s">
        <v>92</v>
      </c>
      <c r="B5" s="62"/>
      <c r="C5" s="83">
        <f>C12</f>
        <v>641694</v>
      </c>
      <c r="D5" s="84"/>
      <c r="E5" s="63"/>
      <c r="F5" s="64" t="s">
        <v>98</v>
      </c>
      <c r="G5" s="65">
        <v>13000</v>
      </c>
    </row>
    <row r="6" spans="1:7" s="9" customFormat="1" x14ac:dyDescent="0.2">
      <c r="A6" s="62" t="s">
        <v>7</v>
      </c>
      <c r="B6" s="62"/>
      <c r="C6" s="85">
        <f>ROUNDUP(F17,0)</f>
        <v>628861</v>
      </c>
      <c r="D6" s="86"/>
      <c r="E6" s="66"/>
      <c r="F6" s="64" t="s">
        <v>91</v>
      </c>
      <c r="G6" s="67">
        <v>9</v>
      </c>
    </row>
    <row r="7" spans="1:7" s="9" customFormat="1" x14ac:dyDescent="0.2">
      <c r="A7" s="87" t="s">
        <v>8</v>
      </c>
      <c r="B7" s="84"/>
      <c r="C7" s="87" t="s">
        <v>9</v>
      </c>
      <c r="D7" s="84"/>
      <c r="E7" s="57"/>
      <c r="F7" s="68" t="s">
        <v>15</v>
      </c>
      <c r="G7" s="72">
        <f>F4</f>
        <v>45728</v>
      </c>
    </row>
    <row r="8" spans="1:7" s="9" customFormat="1" x14ac:dyDescent="0.2">
      <c r="A8" s="87" t="s">
        <v>11</v>
      </c>
      <c r="B8" s="84"/>
      <c r="C8" s="57" t="s">
        <v>12</v>
      </c>
      <c r="D8" s="70"/>
      <c r="E8" s="57"/>
      <c r="F8" s="68" t="s">
        <v>18</v>
      </c>
      <c r="G8" s="72">
        <v>45740</v>
      </c>
    </row>
    <row r="9" spans="1:7" s="9" customFormat="1" x14ac:dyDescent="0.2">
      <c r="A9" s="87" t="s">
        <v>14</v>
      </c>
      <c r="B9" s="84"/>
      <c r="C9" s="88">
        <f>C6</f>
        <v>628861</v>
      </c>
      <c r="D9" s="86"/>
      <c r="E9" s="71"/>
    </row>
    <row r="10" spans="1:7" s="9" customFormat="1" x14ac:dyDescent="0.2">
      <c r="A10" s="87" t="s">
        <v>16</v>
      </c>
      <c r="B10" s="84"/>
      <c r="C10" s="87" t="s">
        <v>17</v>
      </c>
      <c r="D10" s="84"/>
      <c r="E10" s="84"/>
    </row>
    <row r="11" spans="1:7" ht="27.75" customHeight="1" x14ac:dyDescent="0.25">
      <c r="A11" s="10" t="s">
        <v>19</v>
      </c>
      <c r="B11" s="11" t="s">
        <v>20</v>
      </c>
      <c r="C11" s="11" t="s">
        <v>96</v>
      </c>
      <c r="D11" s="89" t="s">
        <v>21</v>
      </c>
      <c r="E11" s="90"/>
      <c r="F11" s="101" t="s">
        <v>97</v>
      </c>
      <c r="G11" s="98"/>
    </row>
    <row r="12" spans="1:7" ht="22.9" customHeight="1" x14ac:dyDescent="0.25">
      <c r="A12" s="19">
        <v>1</v>
      </c>
      <c r="B12" s="12" t="s">
        <v>100</v>
      </c>
      <c r="C12" s="19">
        <v>641694</v>
      </c>
      <c r="D12" s="23">
        <v>2</v>
      </c>
      <c r="E12" s="29" t="s">
        <v>22</v>
      </c>
      <c r="F12" s="97">
        <f>IF(E12="below",ROUNDUP(C12*(1-D12/100),0),ROUNDUP(C12*(1+D12/100),0))</f>
        <v>628861</v>
      </c>
      <c r="G12" s="98"/>
    </row>
    <row r="13" spans="1:7" ht="18.600000000000001" customHeight="1" x14ac:dyDescent="0.25">
      <c r="A13" s="19">
        <v>2</v>
      </c>
      <c r="B13" s="12" t="s">
        <v>101</v>
      </c>
      <c r="C13" s="54">
        <f>$C$12</f>
        <v>641694</v>
      </c>
      <c r="D13" s="23">
        <v>1</v>
      </c>
      <c r="E13" s="29" t="s">
        <v>22</v>
      </c>
      <c r="F13" s="97">
        <f t="shared" ref="F13:F15" si="0">IF(E13="below",ROUNDUP(C13*(1-D13/100),0),ROUNDUP(C13*(1+D13/100),0))</f>
        <v>635278</v>
      </c>
      <c r="G13" s="98"/>
    </row>
    <row r="14" spans="1:7" ht="18.600000000000001" customHeight="1" x14ac:dyDescent="0.25">
      <c r="A14" s="19">
        <v>3</v>
      </c>
      <c r="B14" s="12" t="s">
        <v>102</v>
      </c>
      <c r="C14" s="54">
        <f>$C$12</f>
        <v>641694</v>
      </c>
      <c r="D14" s="23">
        <v>1</v>
      </c>
      <c r="E14" s="29" t="s">
        <v>22</v>
      </c>
      <c r="F14" s="97">
        <f t="shared" ref="F14" si="1">IF(E14="below",ROUNDUP(C14*(1-D14/100),0),ROUNDUP(C14*(1+D14/100),0))</f>
        <v>635278</v>
      </c>
      <c r="G14" s="98"/>
    </row>
    <row r="15" spans="1:7" ht="21" customHeight="1" x14ac:dyDescent="0.25">
      <c r="A15" s="19">
        <v>4</v>
      </c>
      <c r="B15" s="12" t="s">
        <v>103</v>
      </c>
      <c r="C15" s="54">
        <f t="shared" ref="C15" si="2">$C$12</f>
        <v>641694</v>
      </c>
      <c r="D15" s="23">
        <v>0.1</v>
      </c>
      <c r="E15" s="29" t="s">
        <v>22</v>
      </c>
      <c r="F15" s="97">
        <f t="shared" si="0"/>
        <v>641053</v>
      </c>
      <c r="G15" s="98"/>
    </row>
    <row r="16" spans="1:7" ht="4.1500000000000004" customHeight="1" x14ac:dyDescent="0.25">
      <c r="D16" s="22"/>
      <c r="E16" s="6"/>
    </row>
    <row r="17" spans="1:7" ht="15" customHeight="1" thickBot="1" x14ac:dyDescent="0.3">
      <c r="A17" s="25" t="s">
        <v>23</v>
      </c>
      <c r="B17" s="26" t="str">
        <f>INDEX(B12:B15,MATCH(MIN(F12:F15),F12:F15,0))</f>
        <v>M/s. Vikas Enterprises, Udaipur</v>
      </c>
      <c r="C17" s="26"/>
      <c r="D17" s="27">
        <f>INDEX(D12:D15,MATCH(MIN(F12:F15),F12:F15,0))</f>
        <v>2</v>
      </c>
      <c r="E17" s="26" t="str">
        <f>INDEX(E12:E15,MATCH(MIN(F12:F15),F12:F15,0))</f>
        <v>BELOW</v>
      </c>
      <c r="F17" s="74">
        <f>ROUND(MIN(F12:F15),0)</f>
        <v>628861</v>
      </c>
    </row>
    <row r="18" spans="1:7" ht="57" customHeight="1" x14ac:dyDescent="0.25">
      <c r="A18" s="8"/>
      <c r="B18" s="8"/>
      <c r="C18" s="91" t="e">
        <f ca="1">_xlfn.CONCAT("The tender of the lowest bidder "," ", Lowest_bidder," @ ",ROUND(percentile,2),"%  ",Above_Below," amounting to Rs.  ",ROUND(Bid_Amount,0),"/-- In words Rupees. ",NumToWords(Bid_Amount),".")</f>
        <v>#NAME?</v>
      </c>
      <c r="D18" s="92"/>
      <c r="E18" s="92"/>
      <c r="F18" s="93"/>
    </row>
    <row r="19" spans="1:7" ht="13.15" customHeight="1" x14ac:dyDescent="0.25">
      <c r="A19" s="8"/>
      <c r="B19" s="8"/>
      <c r="C19" s="28"/>
      <c r="D19" s="99"/>
      <c r="E19" s="81"/>
      <c r="F19" s="100"/>
    </row>
    <row r="20" spans="1:7" ht="15" customHeight="1" thickBot="1" x14ac:dyDescent="0.3">
      <c r="A20" s="8"/>
      <c r="B20" s="8"/>
      <c r="C20" s="94" t="s">
        <v>24</v>
      </c>
      <c r="D20" s="95"/>
      <c r="E20" s="95"/>
      <c r="F20" s="96"/>
    </row>
    <row r="21" spans="1:7" ht="15" customHeight="1" x14ac:dyDescent="0.25">
      <c r="A21" s="8"/>
      <c r="B21" s="8"/>
      <c r="C21" s="50"/>
      <c r="D21" s="73"/>
      <c r="E21" s="73"/>
      <c r="F21" s="73"/>
    </row>
    <row r="22" spans="1:7" ht="15" customHeight="1" x14ac:dyDescent="0.25">
      <c r="A22" s="8"/>
      <c r="B22" s="8"/>
      <c r="C22" s="50"/>
      <c r="D22" s="73"/>
      <c r="E22" s="73"/>
      <c r="F22" s="73"/>
    </row>
    <row r="23" spans="1:7" x14ac:dyDescent="0.25">
      <c r="D23" s="22"/>
      <c r="E23" s="6"/>
      <c r="F23" s="82"/>
      <c r="G23" s="81"/>
    </row>
    <row r="24" spans="1:7" s="13" customFormat="1" ht="18" customHeight="1" x14ac:dyDescent="0.3">
      <c r="A24" s="80" t="s">
        <v>25</v>
      </c>
      <c r="B24" s="81"/>
      <c r="C24" s="81"/>
      <c r="D24" s="81"/>
      <c r="E24" s="81"/>
      <c r="F24" s="81"/>
      <c r="G24" s="81"/>
    </row>
    <row r="25" spans="1:7" s="13" customFormat="1" ht="18" customHeight="1" x14ac:dyDescent="0.3">
      <c r="B25" s="14"/>
      <c r="E25" s="24"/>
    </row>
  </sheetData>
  <mergeCells count="24">
    <mergeCell ref="D19:F19"/>
    <mergeCell ref="F11:G11"/>
    <mergeCell ref="C7:D7"/>
    <mergeCell ref="A1:G1"/>
    <mergeCell ref="A2:G2"/>
    <mergeCell ref="C4:E4"/>
    <mergeCell ref="F12:G12"/>
    <mergeCell ref="C3:G3"/>
    <mergeCell ref="A24:G24"/>
    <mergeCell ref="F23:G23"/>
    <mergeCell ref="C5:D5"/>
    <mergeCell ref="C6:D6"/>
    <mergeCell ref="A7:B7"/>
    <mergeCell ref="A9:B9"/>
    <mergeCell ref="C9:D9"/>
    <mergeCell ref="A10:B10"/>
    <mergeCell ref="D11:E11"/>
    <mergeCell ref="C10:E10"/>
    <mergeCell ref="C18:F18"/>
    <mergeCell ref="C20:F20"/>
    <mergeCell ref="A8:B8"/>
    <mergeCell ref="F13:G13"/>
    <mergeCell ref="F15:G15"/>
    <mergeCell ref="F14:G14"/>
  </mergeCells>
  <printOptions horizontalCentered="1"/>
  <pageMargins left="0.31496062992125984" right="0.31496062992125984" top="0.39370078740157483" bottom="0.35433070866141736" header="0" footer="0"/>
  <pageSetup paperSize="9" fitToHeight="2"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E22"/>
  <sheetViews>
    <sheetView view="pageBreakPreview" topLeftCell="A10" zoomScaleNormal="100" zoomScaleSheetLayoutView="100" workbookViewId="0">
      <selection activeCell="B16" sqref="B16:D16"/>
    </sheetView>
  </sheetViews>
  <sheetFormatPr defaultRowHeight="15" x14ac:dyDescent="0.25"/>
  <cols>
    <col min="1" max="1" width="8" customWidth="1"/>
    <col min="2" max="2" width="15.85546875" style="16" customWidth="1"/>
    <col min="3" max="3" width="8.85546875" customWidth="1"/>
    <col min="4" max="4" width="4.85546875" customWidth="1"/>
    <col min="5" max="5" width="62.42578125" customWidth="1"/>
  </cols>
  <sheetData>
    <row r="1" spans="1:5" ht="16.5" customHeight="1" x14ac:dyDescent="0.25">
      <c r="A1" s="127" t="s">
        <v>26</v>
      </c>
      <c r="B1" s="114"/>
      <c r="C1" s="115"/>
      <c r="D1" s="115"/>
      <c r="E1" s="115"/>
    </row>
    <row r="2" spans="1:5" ht="35.1" customHeight="1" x14ac:dyDescent="0.25">
      <c r="A2" s="1">
        <v>1</v>
      </c>
      <c r="B2" s="116" t="s">
        <v>27</v>
      </c>
      <c r="C2" s="117"/>
      <c r="D2" s="118"/>
      <c r="E2" s="3"/>
    </row>
    <row r="3" spans="1:5" s="16" customFormat="1" ht="15" customHeight="1" x14ac:dyDescent="0.25">
      <c r="A3" s="55" t="s">
        <v>28</v>
      </c>
      <c r="B3" s="119" t="s">
        <v>29</v>
      </c>
      <c r="C3" s="117"/>
      <c r="D3" s="118"/>
      <c r="E3" s="30" t="str">
        <f>'Compare-1'!C3</f>
        <v xml:space="preserve">Electric cabling and maintenance work in Sahelion ki Bari , Udaipur  </v>
      </c>
    </row>
    <row r="4" spans="1:5" ht="15" customHeight="1" x14ac:dyDescent="0.25">
      <c r="A4" s="4"/>
      <c r="B4" s="128" t="s">
        <v>30</v>
      </c>
      <c r="C4" s="117"/>
      <c r="D4" s="118"/>
      <c r="E4" s="21"/>
    </row>
    <row r="5" spans="1:5" ht="15" customHeight="1" x14ac:dyDescent="0.25">
      <c r="A5" s="1">
        <v>3</v>
      </c>
      <c r="B5" s="119" t="s">
        <v>31</v>
      </c>
      <c r="C5" s="117"/>
      <c r="D5" s="118"/>
      <c r="E5" s="3"/>
    </row>
    <row r="6" spans="1:5" ht="15" customHeight="1" x14ac:dyDescent="0.25">
      <c r="A6" s="1"/>
      <c r="B6" s="129" t="s">
        <v>32</v>
      </c>
      <c r="C6" s="117"/>
      <c r="D6" s="118"/>
      <c r="E6" s="3">
        <f>'Compare-1'!C5</f>
        <v>641694</v>
      </c>
    </row>
    <row r="7" spans="1:5" ht="50.45" customHeight="1" x14ac:dyDescent="0.25">
      <c r="A7" s="1">
        <v>4</v>
      </c>
      <c r="B7" s="119" t="s">
        <v>33</v>
      </c>
      <c r="C7" s="117"/>
      <c r="D7" s="118"/>
      <c r="E7" s="3"/>
    </row>
    <row r="8" spans="1:5" ht="35.1" customHeight="1" x14ac:dyDescent="0.25">
      <c r="A8" s="1">
        <v>5</v>
      </c>
      <c r="B8" s="116" t="s">
        <v>15</v>
      </c>
      <c r="C8" s="117"/>
      <c r="D8" s="118"/>
      <c r="E8" s="20">
        <f>'Compare-1'!F4</f>
        <v>45728</v>
      </c>
    </row>
    <row r="9" spans="1:5" ht="34.9" customHeight="1" x14ac:dyDescent="0.25">
      <c r="A9" s="1">
        <v>6</v>
      </c>
      <c r="B9" s="116" t="s">
        <v>34</v>
      </c>
      <c r="C9" s="117"/>
      <c r="D9" s="118"/>
      <c r="E9" s="20">
        <f>'Compare-1'!G8</f>
        <v>45740</v>
      </c>
    </row>
    <row r="10" spans="1:5" ht="35.1" customHeight="1" x14ac:dyDescent="0.25">
      <c r="A10" s="1">
        <v>7</v>
      </c>
      <c r="B10" s="116" t="s">
        <v>35</v>
      </c>
      <c r="C10" s="117"/>
      <c r="D10" s="118"/>
      <c r="E10" s="5" t="e">
        <f>'Compare-1'!#REF!</f>
        <v>#REF!</v>
      </c>
    </row>
    <row r="11" spans="1:5" ht="34.9" customHeight="1" x14ac:dyDescent="0.25">
      <c r="A11" s="1">
        <v>8</v>
      </c>
      <c r="B11" s="116" t="s">
        <v>36</v>
      </c>
      <c r="C11" s="117"/>
      <c r="D11" s="118"/>
      <c r="E11" s="5" t="e">
        <f>'Compare-1'!#REF!</f>
        <v>#REF!</v>
      </c>
    </row>
    <row r="12" spans="1:5" ht="34.9" customHeight="1" x14ac:dyDescent="0.25">
      <c r="A12" s="1">
        <v>9</v>
      </c>
      <c r="B12" s="119" t="s">
        <v>37</v>
      </c>
      <c r="C12" s="117"/>
      <c r="D12" s="118"/>
      <c r="E12" s="2" t="s">
        <v>38</v>
      </c>
    </row>
    <row r="13" spans="1:5" ht="35.1" customHeight="1" x14ac:dyDescent="0.25">
      <c r="A13" s="1">
        <v>10</v>
      </c>
      <c r="B13" s="116" t="s">
        <v>39</v>
      </c>
      <c r="C13" s="117"/>
      <c r="D13" s="118"/>
      <c r="E13" s="37" t="s">
        <v>9</v>
      </c>
    </row>
    <row r="14" spans="1:5" ht="40.5" customHeight="1" x14ac:dyDescent="0.25">
      <c r="A14" s="55" t="s">
        <v>40</v>
      </c>
      <c r="B14" s="120" t="s">
        <v>41</v>
      </c>
      <c r="C14" s="121"/>
      <c r="D14" s="121"/>
      <c r="E14" s="38" t="e">
        <f ca="1">_xlfn.CONCAT(TEXT(ROUND([0]!percentile,4), "#,##0.00"), " % ", [0]!Above_Below, ". No Condition.")</f>
        <v>#NAME?</v>
      </c>
    </row>
    <row r="15" spans="1:5" ht="44.25" customHeight="1" x14ac:dyDescent="0.25">
      <c r="A15" s="55" t="s">
        <v>42</v>
      </c>
      <c r="B15" s="119" t="s">
        <v>43</v>
      </c>
      <c r="C15" s="117"/>
      <c r="D15" s="118"/>
      <c r="E15" s="33" t="s">
        <v>44</v>
      </c>
    </row>
    <row r="16" spans="1:5" ht="35.1" customHeight="1" x14ac:dyDescent="0.25">
      <c r="A16" s="1">
        <v>13</v>
      </c>
      <c r="B16" s="116" t="s">
        <v>45</v>
      </c>
      <c r="C16" s="117"/>
      <c r="D16" s="118"/>
      <c r="E16" s="15" t="str">
        <f>[0]!Lowest_bidder</f>
        <v>M/s. Vikas Enterprises, Udaipur</v>
      </c>
    </row>
    <row r="17" spans="1:5" ht="52.15" customHeight="1" x14ac:dyDescent="0.25">
      <c r="A17" s="56" t="s">
        <v>46</v>
      </c>
      <c r="B17" s="125" t="s">
        <v>47</v>
      </c>
      <c r="C17" s="121"/>
      <c r="D17" s="126"/>
      <c r="E17" s="2" t="s">
        <v>48</v>
      </c>
    </row>
    <row r="18" spans="1:5" x14ac:dyDescent="0.25">
      <c r="A18" s="35">
        <v>15</v>
      </c>
      <c r="B18" s="122" t="s">
        <v>49</v>
      </c>
      <c r="C18" s="123"/>
      <c r="D18" s="124"/>
      <c r="E18" s="31" t="s">
        <v>50</v>
      </c>
    </row>
    <row r="19" spans="1:5" x14ac:dyDescent="0.25">
      <c r="A19" s="36"/>
      <c r="B19" s="107" t="s">
        <v>51</v>
      </c>
      <c r="C19" s="108"/>
      <c r="D19" s="109"/>
      <c r="E19" s="32">
        <f>'Compare-1'!G8+20</f>
        <v>45760</v>
      </c>
    </row>
    <row r="20" spans="1:5" x14ac:dyDescent="0.25">
      <c r="A20" s="34">
        <v>16</v>
      </c>
      <c r="B20" s="110" t="s">
        <v>52</v>
      </c>
      <c r="C20" s="111"/>
      <c r="D20" s="112"/>
      <c r="E20" s="2" t="s">
        <v>53</v>
      </c>
    </row>
    <row r="21" spans="1:5" ht="35.1" customHeight="1" x14ac:dyDescent="0.25">
      <c r="A21" s="17"/>
      <c r="B21" s="18"/>
      <c r="C21" s="18"/>
      <c r="D21" s="18"/>
      <c r="E21" s="18"/>
    </row>
    <row r="22" spans="1:5" ht="15" customHeight="1" x14ac:dyDescent="0.25">
      <c r="A22" s="113" t="s">
        <v>95</v>
      </c>
      <c r="B22" s="114"/>
      <c r="C22" s="115"/>
      <c r="D22" s="115"/>
      <c r="E22" s="115"/>
    </row>
  </sheetData>
  <mergeCells count="21">
    <mergeCell ref="A1:E1"/>
    <mergeCell ref="B2:D2"/>
    <mergeCell ref="B4:D4"/>
    <mergeCell ref="B6:D6"/>
    <mergeCell ref="B7:D7"/>
    <mergeCell ref="B3:D3"/>
    <mergeCell ref="B5:D5"/>
    <mergeCell ref="B19:D19"/>
    <mergeCell ref="B20:D20"/>
    <mergeCell ref="A22:E22"/>
    <mergeCell ref="B13:D13"/>
    <mergeCell ref="B8:D8"/>
    <mergeCell ref="B9:D9"/>
    <mergeCell ref="B10:D10"/>
    <mergeCell ref="B11:D11"/>
    <mergeCell ref="B12:D12"/>
    <mergeCell ref="B14:D14"/>
    <mergeCell ref="B15:D15"/>
    <mergeCell ref="B18:D18"/>
    <mergeCell ref="B16:D16"/>
    <mergeCell ref="B17:D17"/>
  </mergeCells>
  <pageMargins left="0.70866141732283472" right="0.70866141732283472" top="0.74803149606299213" bottom="0.74803149606299213" header="0.31496062992125984" footer="0.31496062992125984"/>
  <pageSetup paperSize="9" scale="87"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41"/>
  <sheetViews>
    <sheetView view="pageBreakPreview" topLeftCell="A7" zoomScaleNormal="100" zoomScaleSheetLayoutView="100" workbookViewId="0">
      <selection activeCell="A16" sqref="A16:I16"/>
    </sheetView>
  </sheetViews>
  <sheetFormatPr defaultColWidth="8.85546875" defaultRowHeight="15" x14ac:dyDescent="0.25"/>
  <cols>
    <col min="1" max="2" width="8.85546875" style="40" customWidth="1"/>
    <col min="3" max="5" width="10.28515625" style="40" bestFit="1" customWidth="1"/>
    <col min="6" max="6" width="8.85546875" style="40" customWidth="1"/>
    <col min="7" max="16384" width="8.85546875" style="40"/>
  </cols>
  <sheetData>
    <row r="1" spans="1:9" x14ac:dyDescent="0.25">
      <c r="A1" s="132" t="s">
        <v>54</v>
      </c>
      <c r="B1" s="131"/>
      <c r="C1" s="131"/>
      <c r="D1" s="131"/>
      <c r="E1" s="131"/>
      <c r="F1" s="131"/>
      <c r="G1" s="131"/>
      <c r="H1" s="131"/>
      <c r="I1" s="131"/>
    </row>
    <row r="2" spans="1:9" x14ac:dyDescent="0.25">
      <c r="A2" s="39"/>
      <c r="B2" s="39"/>
      <c r="C2" s="39"/>
      <c r="D2" s="39"/>
      <c r="E2" s="39"/>
      <c r="F2" s="39"/>
      <c r="G2" s="39"/>
      <c r="H2" s="41" t="s">
        <v>55</v>
      </c>
      <c r="I2" s="39"/>
    </row>
    <row r="3" spans="1:9" x14ac:dyDescent="0.25">
      <c r="A3" s="42" t="s">
        <v>56</v>
      </c>
      <c r="B3" s="39"/>
      <c r="C3" s="39"/>
      <c r="D3" s="39"/>
      <c r="E3" s="39"/>
      <c r="F3" s="39"/>
      <c r="G3" s="42" t="s">
        <v>57</v>
      </c>
      <c r="H3" s="42"/>
      <c r="I3" s="39"/>
    </row>
    <row r="4" spans="1:9" x14ac:dyDescent="0.25">
      <c r="A4" s="133" t="s">
        <v>94</v>
      </c>
      <c r="B4" s="131"/>
      <c r="C4" s="131"/>
      <c r="D4" s="131"/>
      <c r="E4" s="131"/>
      <c r="F4" s="131"/>
      <c r="G4" s="131"/>
      <c r="H4" s="131"/>
      <c r="I4" s="131"/>
    </row>
    <row r="5" spans="1:9" x14ac:dyDescent="0.25">
      <c r="A5" s="53" t="s">
        <v>93</v>
      </c>
    </row>
    <row r="6" spans="1:9" x14ac:dyDescent="0.25">
      <c r="A6" s="43" t="str">
        <f>[0]!Lowest_bidder</f>
        <v>M/s. Vikas Enterprises, Udaipur</v>
      </c>
    </row>
    <row r="7" spans="1:9" x14ac:dyDescent="0.25">
      <c r="A7" s="43"/>
    </row>
    <row r="9" spans="1:9" ht="31.15" customHeight="1" x14ac:dyDescent="0.25">
      <c r="A9" s="44" t="s">
        <v>58</v>
      </c>
      <c r="B9" s="44"/>
      <c r="C9" s="134" t="str">
        <f>'Compare-1'!C3</f>
        <v xml:space="preserve">Electric cabling and maintenance work in Sahelion ki Bari , Udaipur  </v>
      </c>
      <c r="D9" s="131"/>
      <c r="E9" s="131"/>
      <c r="F9" s="131"/>
      <c r="G9" s="131"/>
      <c r="H9" s="131"/>
      <c r="I9" s="131"/>
    </row>
    <row r="10" spans="1:9" x14ac:dyDescent="0.25">
      <c r="A10" s="40" t="s">
        <v>59</v>
      </c>
      <c r="C10" s="40" t="str">
        <f>'Compare-1'!B4</f>
        <v>27/2024-25</v>
      </c>
      <c r="E10" s="40" t="str">
        <f>'Compare-1'!G4</f>
        <v>ITEM-1</v>
      </c>
    </row>
    <row r="11" spans="1:9" x14ac:dyDescent="0.25">
      <c r="A11" s="40" t="s">
        <v>60</v>
      </c>
      <c r="C11" s="45">
        <f>'Compare-1'!F4</f>
        <v>45728</v>
      </c>
    </row>
    <row r="12" spans="1:9" x14ac:dyDescent="0.25">
      <c r="A12" s="40" t="s">
        <v>61</v>
      </c>
      <c r="D12" s="45">
        <f>'Compare-1'!G8</f>
        <v>45740</v>
      </c>
    </row>
    <row r="13" spans="1:9" x14ac:dyDescent="0.25">
      <c r="A13" s="40" t="s">
        <v>62</v>
      </c>
      <c r="E13" s="45">
        <f>D12</f>
        <v>45740</v>
      </c>
    </row>
    <row r="14" spans="1:9" x14ac:dyDescent="0.25">
      <c r="A14" s="40" t="s">
        <v>63</v>
      </c>
    </row>
    <row r="15" spans="1:9" ht="64.900000000000006" customHeight="1" x14ac:dyDescent="0.25">
      <c r="A15" s="135" t="e">
        <f ca="1">_xlfn.CONCAT("       Your tender for the above work has been accepted on behalf of the Governor of Rajasthan @  ",ROUND([0]!percentile,2), "%  ",[0]!Above_Below," amounting to Rs.  ",ROUND([0]!Bid_Amount,0),"/-- In words Rupees. ",NumToWords([0]!Bid_Amount),".")</f>
        <v>#NAME?</v>
      </c>
      <c r="B15" s="131"/>
      <c r="C15" s="131"/>
      <c r="D15" s="131"/>
      <c r="E15" s="131"/>
      <c r="F15" s="131"/>
      <c r="G15" s="131"/>
      <c r="H15" s="131"/>
      <c r="I15" s="131"/>
    </row>
    <row r="16" spans="1:9" ht="66" customHeight="1" x14ac:dyDescent="0.25">
      <c r="A16" s="135" t="s">
        <v>64</v>
      </c>
      <c r="B16" s="131"/>
      <c r="C16" s="131"/>
      <c r="D16" s="131"/>
      <c r="E16" s="131"/>
      <c r="F16" s="131"/>
      <c r="G16" s="131"/>
      <c r="H16" s="131"/>
      <c r="I16" s="131"/>
    </row>
    <row r="18" spans="1:9" x14ac:dyDescent="0.25">
      <c r="A18" s="40" t="s">
        <v>65</v>
      </c>
    </row>
    <row r="19" spans="1:9" x14ac:dyDescent="0.25">
      <c r="A19" s="40" t="s">
        <v>66</v>
      </c>
      <c r="F19" s="130">
        <v>45741</v>
      </c>
      <c r="G19" s="131"/>
    </row>
    <row r="20" spans="1:9" x14ac:dyDescent="0.25">
      <c r="A20" s="40" t="s">
        <v>67</v>
      </c>
      <c r="F20" s="130">
        <v>46015.23</v>
      </c>
      <c r="G20" s="131"/>
    </row>
    <row r="21" spans="1:9" x14ac:dyDescent="0.25">
      <c r="A21" s="40" t="s">
        <v>68</v>
      </c>
    </row>
    <row r="22" spans="1:9" x14ac:dyDescent="0.25">
      <c r="A22" s="40" t="s">
        <v>69</v>
      </c>
    </row>
    <row r="23" spans="1:9" x14ac:dyDescent="0.25">
      <c r="A23" s="40" t="s">
        <v>70</v>
      </c>
    </row>
    <row r="25" spans="1:9" x14ac:dyDescent="0.25">
      <c r="A25" s="40" t="s">
        <v>71</v>
      </c>
    </row>
    <row r="27" spans="1:9" x14ac:dyDescent="0.25">
      <c r="A27" s="40" t="s">
        <v>72</v>
      </c>
    </row>
    <row r="28" spans="1:9" x14ac:dyDescent="0.25">
      <c r="A28" s="40" t="s">
        <v>73</v>
      </c>
    </row>
    <row r="29" spans="1:9" x14ac:dyDescent="0.25">
      <c r="A29" s="42" t="s">
        <v>56</v>
      </c>
      <c r="B29" s="39"/>
      <c r="C29" s="39"/>
      <c r="D29" s="39"/>
      <c r="E29" s="39"/>
      <c r="F29" s="39"/>
      <c r="G29" s="42" t="s">
        <v>57</v>
      </c>
      <c r="H29" s="42"/>
      <c r="I29" s="39"/>
    </row>
    <row r="30" spans="1:9" x14ac:dyDescent="0.25">
      <c r="A30" s="40" t="s">
        <v>74</v>
      </c>
    </row>
    <row r="31" spans="1:9" x14ac:dyDescent="0.25">
      <c r="A31" s="40" t="s">
        <v>75</v>
      </c>
    </row>
    <row r="32" spans="1:9" x14ac:dyDescent="0.25">
      <c r="A32" s="40" t="s">
        <v>76</v>
      </c>
    </row>
    <row r="33" spans="1:1" x14ac:dyDescent="0.25">
      <c r="A33" s="40" t="s">
        <v>77</v>
      </c>
    </row>
    <row r="34" spans="1:1" x14ac:dyDescent="0.25">
      <c r="A34" s="40" t="s">
        <v>78</v>
      </c>
    </row>
    <row r="35" spans="1:1" x14ac:dyDescent="0.25">
      <c r="A35" s="40" t="s">
        <v>79</v>
      </c>
    </row>
    <row r="36" spans="1:1" x14ac:dyDescent="0.25">
      <c r="A36" s="40" t="s">
        <v>80</v>
      </c>
    </row>
    <row r="37" spans="1:1" x14ac:dyDescent="0.25">
      <c r="A37" s="40" t="s">
        <v>81</v>
      </c>
    </row>
    <row r="38" spans="1:1" x14ac:dyDescent="0.25">
      <c r="A38" s="40" t="s">
        <v>82</v>
      </c>
    </row>
    <row r="40" spans="1:1" x14ac:dyDescent="0.25">
      <c r="A40" s="40" t="s">
        <v>83</v>
      </c>
    </row>
    <row r="41" spans="1:1" x14ac:dyDescent="0.25">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I28"/>
  <sheetViews>
    <sheetView view="pageBreakPreview" zoomScaleNormal="100" zoomScaleSheetLayoutView="100" workbookViewId="0">
      <selection activeCell="D16" sqref="D16"/>
    </sheetView>
  </sheetViews>
  <sheetFormatPr defaultColWidth="8.85546875" defaultRowHeight="15" x14ac:dyDescent="0.25"/>
  <cols>
    <col min="1" max="2" width="8.85546875" style="40" customWidth="1"/>
    <col min="3" max="5" width="11.28515625" style="40" bestFit="1" customWidth="1"/>
    <col min="6" max="6" width="8.85546875" style="40" customWidth="1"/>
    <col min="7" max="16384" width="8.85546875" style="40"/>
  </cols>
  <sheetData>
    <row r="1" spans="1:9" ht="15.75" x14ac:dyDescent="0.25">
      <c r="A1" s="138" t="s">
        <v>54</v>
      </c>
      <c r="B1" s="137"/>
      <c r="C1" s="137"/>
      <c r="D1" s="137"/>
      <c r="E1" s="137"/>
      <c r="F1" s="137"/>
      <c r="G1" s="137"/>
      <c r="H1" s="137"/>
      <c r="I1" s="137"/>
    </row>
    <row r="2" spans="1:9" x14ac:dyDescent="0.25">
      <c r="A2" s="42" t="s">
        <v>56</v>
      </c>
      <c r="B2" s="39"/>
      <c r="C2" s="39"/>
      <c r="D2" s="39"/>
      <c r="E2" s="39"/>
      <c r="F2" s="39"/>
      <c r="G2" s="42" t="s">
        <v>57</v>
      </c>
      <c r="H2" s="42"/>
      <c r="I2" s="39"/>
    </row>
    <row r="3" spans="1:9" ht="18.75" x14ac:dyDescent="0.3">
      <c r="A3" s="139" t="s">
        <v>85</v>
      </c>
      <c r="B3" s="140"/>
      <c r="C3" s="140"/>
      <c r="D3" s="140"/>
      <c r="E3" s="140"/>
      <c r="F3" s="140"/>
      <c r="G3" s="140"/>
      <c r="H3" s="140"/>
      <c r="I3" s="140"/>
    </row>
    <row r="4" spans="1:9" x14ac:dyDescent="0.25">
      <c r="A4" s="53" t="s">
        <v>93</v>
      </c>
    </row>
    <row r="5" spans="1:9" x14ac:dyDescent="0.25">
      <c r="A5" s="43" t="str">
        <f>[0]!Lowest_bidder</f>
        <v>M/s. Vikas Enterprises, Udaipur</v>
      </c>
    </row>
    <row r="6" spans="1:9" x14ac:dyDescent="0.25">
      <c r="A6" s="43"/>
    </row>
    <row r="8" spans="1:9" s="47" customFormat="1" ht="31.15" customHeight="1" x14ac:dyDescent="0.25">
      <c r="A8" s="51" t="s">
        <v>89</v>
      </c>
      <c r="B8" s="46"/>
      <c r="C8" s="141" t="s">
        <v>3</v>
      </c>
      <c r="D8" s="137"/>
      <c r="E8" s="137"/>
      <c r="F8" s="137"/>
      <c r="G8" s="137"/>
      <c r="H8" s="137"/>
      <c r="I8" s="137"/>
    </row>
    <row r="9" spans="1:9" s="47" customFormat="1" ht="15.6" customHeight="1" x14ac:dyDescent="0.25">
      <c r="A9" s="47" t="s">
        <v>59</v>
      </c>
      <c r="C9" s="47" t="str">
        <f>'Compare-1'!B4</f>
        <v>27/2024-25</v>
      </c>
      <c r="E9" s="52" t="str">
        <f>'Compare-1'!G4</f>
        <v>ITEM-1</v>
      </c>
    </row>
    <row r="10" spans="1:9" s="47" customFormat="1" ht="15.6" customHeight="1" x14ac:dyDescent="0.25">
      <c r="A10" s="47" t="s">
        <v>60</v>
      </c>
      <c r="C10" s="48">
        <f>'Compare-1'!F4</f>
        <v>45728</v>
      </c>
    </row>
    <row r="11" spans="1:9" s="47" customFormat="1" ht="15.6" customHeight="1" x14ac:dyDescent="0.25">
      <c r="A11" s="47" t="s">
        <v>61</v>
      </c>
      <c r="D11" s="48">
        <f>'Compare-1'!G8</f>
        <v>45740</v>
      </c>
    </row>
    <row r="12" spans="1:9" s="47" customFormat="1" ht="15.6" customHeight="1" x14ac:dyDescent="0.25">
      <c r="A12" s="47" t="s">
        <v>62</v>
      </c>
      <c r="E12" s="48">
        <f>D11</f>
        <v>45740</v>
      </c>
    </row>
    <row r="13" spans="1:9" s="47" customFormat="1" ht="15.6" customHeight="1" x14ac:dyDescent="0.25">
      <c r="A13" s="47" t="s">
        <v>63</v>
      </c>
    </row>
    <row r="14" spans="1:9" s="47" customFormat="1" ht="74.45" customHeight="1" x14ac:dyDescent="0.25">
      <c r="A14" s="136" t="e">
        <f ca="1">_xlfn.CONCAT("       Your tender for the above work has been accepted on behalf of the Governor of Rajasthan @  ",ROUND([0]!percentile,2), "%  ",[0]!Above_Below," amounting to Rs.  ",ROUND([0]!Bid_Amount,0),"/-- In words Rupees. ",NumToWords([0]!Bid_Amount),"by the undersingned Executive Engineer PWD Electric Divistion Udaipur.")</f>
        <v>#NAME?</v>
      </c>
      <c r="B14" s="137"/>
      <c r="C14" s="137"/>
      <c r="D14" s="137"/>
      <c r="E14" s="137"/>
      <c r="F14" s="137"/>
      <c r="G14" s="137"/>
      <c r="H14" s="137"/>
      <c r="I14" s="137"/>
    </row>
    <row r="15" spans="1:9" s="47" customFormat="1" ht="109.9" customHeight="1" x14ac:dyDescent="0.25">
      <c r="A15" s="136" t="s">
        <v>86</v>
      </c>
      <c r="B15" s="137"/>
      <c r="C15" s="137"/>
      <c r="D15" s="137"/>
      <c r="E15" s="137"/>
      <c r="F15" s="137"/>
      <c r="G15" s="137"/>
      <c r="H15" s="137"/>
      <c r="I15" s="137"/>
    </row>
    <row r="16" spans="1:9" s="47" customFormat="1" ht="15.6" customHeight="1" x14ac:dyDescent="0.25">
      <c r="A16" s="47" t="s">
        <v>87</v>
      </c>
    </row>
    <row r="17" spans="1:9" s="47" customFormat="1" ht="15.6" customHeight="1" x14ac:dyDescent="0.25"/>
    <row r="18" spans="1:9" s="47" customFormat="1" ht="15.6" customHeight="1" x14ac:dyDescent="0.25">
      <c r="A18" s="47" t="s">
        <v>71</v>
      </c>
    </row>
    <row r="19" spans="1:9" s="47" customFormat="1" ht="15.6" customHeight="1" x14ac:dyDescent="0.25"/>
    <row r="20" spans="1:9" s="47" customFormat="1" ht="15.6" customHeight="1" x14ac:dyDescent="0.25">
      <c r="A20" s="47" t="s">
        <v>72</v>
      </c>
    </row>
    <row r="21" spans="1:9" s="47" customFormat="1" ht="15.6" customHeight="1" x14ac:dyDescent="0.25">
      <c r="A21" s="47" t="s">
        <v>73</v>
      </c>
    </row>
    <row r="22" spans="1:9" s="47" customFormat="1" ht="15.6" customHeight="1" x14ac:dyDescent="0.25">
      <c r="A22" s="49" t="s">
        <v>56</v>
      </c>
      <c r="B22" s="49"/>
      <c r="C22" s="49"/>
      <c r="D22" s="49"/>
      <c r="E22" s="49"/>
      <c r="F22" s="49"/>
      <c r="G22" s="49" t="s">
        <v>57</v>
      </c>
      <c r="H22" s="49"/>
      <c r="I22" s="49"/>
    </row>
    <row r="23" spans="1:9" s="47" customFormat="1" ht="15.6" customHeight="1" x14ac:dyDescent="0.25">
      <c r="A23" s="47" t="s">
        <v>74</v>
      </c>
    </row>
    <row r="24" spans="1:9" s="47" customFormat="1" ht="15.6" customHeight="1" x14ac:dyDescent="0.25">
      <c r="A24" s="47" t="s">
        <v>88</v>
      </c>
    </row>
    <row r="25" spans="1:9" s="47" customFormat="1" ht="15.6" customHeight="1" x14ac:dyDescent="0.25">
      <c r="A25" s="47" t="s">
        <v>90</v>
      </c>
    </row>
    <row r="26" spans="1:9" s="47" customFormat="1" ht="15.6" customHeight="1" x14ac:dyDescent="0.25"/>
    <row r="27" spans="1:9" x14ac:dyDescent="0.25">
      <c r="A27" s="40" t="s">
        <v>83</v>
      </c>
    </row>
    <row r="28" spans="1:9" x14ac:dyDescent="0.25">
      <c r="A28" s="40" t="s">
        <v>84</v>
      </c>
    </row>
  </sheetData>
  <mergeCells count="5">
    <mergeCell ref="A15:I15"/>
    <mergeCell ref="A1:I1"/>
    <mergeCell ref="A3:I3"/>
    <mergeCell ref="C8:I8"/>
    <mergeCell ref="A14:I14"/>
  </mergeCells>
  <pageMargins left="0.70866141732283472" right="0.70866141732283472" top="0.74803149606299213" bottom="0.74803149606299213" header="0.31496062992125978" footer="0.31496062992125978"/>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G25"/>
  <sheetViews>
    <sheetView view="pageBreakPreview" zoomScaleNormal="100" zoomScaleSheetLayoutView="100" workbookViewId="0">
      <selection activeCell="H18" sqref="H18"/>
    </sheetView>
  </sheetViews>
  <sheetFormatPr defaultColWidth="9.140625" defaultRowHeight="15" x14ac:dyDescent="0.25"/>
  <cols>
    <col min="1" max="1" width="9.140625" style="6" customWidth="1"/>
    <col min="2" max="2" width="49.28515625" style="6" customWidth="1"/>
    <col min="3" max="3" width="12.7109375" style="6" customWidth="1"/>
    <col min="4" max="4" width="9" style="6" customWidth="1"/>
    <col min="5" max="5" width="6.7109375" style="22" customWidth="1"/>
    <col min="6" max="6" width="26" style="6" customWidth="1"/>
    <col min="7" max="7" width="14.28515625" style="6" customWidth="1"/>
    <col min="8" max="16384" width="9.140625" style="6"/>
  </cols>
  <sheetData>
    <row r="1" spans="1:7" x14ac:dyDescent="0.25">
      <c r="A1" s="102" t="s">
        <v>0</v>
      </c>
      <c r="B1" s="103"/>
      <c r="C1" s="103"/>
      <c r="D1" s="103"/>
      <c r="E1" s="103"/>
      <c r="F1" s="103"/>
      <c r="G1" s="103"/>
    </row>
    <row r="2" spans="1:7" ht="15.6" customHeight="1" x14ac:dyDescent="0.25">
      <c r="A2" s="104" t="s">
        <v>1</v>
      </c>
      <c r="B2" s="103"/>
      <c r="C2" s="103"/>
      <c r="D2" s="103"/>
      <c r="E2" s="103"/>
      <c r="F2" s="103"/>
      <c r="G2" s="103"/>
    </row>
    <row r="3" spans="1:7" ht="31.15" customHeight="1" x14ac:dyDescent="0.25">
      <c r="A3" s="7" t="s">
        <v>2</v>
      </c>
      <c r="C3" s="106" t="s">
        <v>3</v>
      </c>
      <c r="D3" s="106"/>
      <c r="E3" s="106"/>
      <c r="F3" s="106"/>
      <c r="G3" s="106"/>
    </row>
    <row r="4" spans="1:7" x14ac:dyDescent="0.25">
      <c r="A4" s="58" t="s">
        <v>4</v>
      </c>
      <c r="B4" s="77" t="str">
        <f>'Compare-1'!B4</f>
        <v>27/2024-25</v>
      </c>
      <c r="C4" s="142" t="s">
        <v>5</v>
      </c>
      <c r="D4" s="143"/>
      <c r="E4" s="143"/>
      <c r="F4" s="78">
        <f>'Compare-1'!F4</f>
        <v>45728</v>
      </c>
      <c r="G4" s="75" t="s">
        <v>112</v>
      </c>
    </row>
    <row r="5" spans="1:7" s="9" customFormat="1" x14ac:dyDescent="0.2">
      <c r="A5" s="62" t="s">
        <v>92</v>
      </c>
      <c r="B5" s="62"/>
      <c r="C5" s="144">
        <f>C12</f>
        <v>1252562</v>
      </c>
      <c r="D5" s="143"/>
      <c r="E5" s="63"/>
      <c r="F5" s="64" t="s">
        <v>98</v>
      </c>
      <c r="G5" s="65">
        <v>13000</v>
      </c>
    </row>
    <row r="6" spans="1:7" s="9" customFormat="1" x14ac:dyDescent="0.2">
      <c r="A6" s="62" t="s">
        <v>7</v>
      </c>
      <c r="B6" s="62"/>
      <c r="C6" s="85">
        <f>ROUNDUP(F17,0)</f>
        <v>1240037</v>
      </c>
      <c r="D6" s="86"/>
      <c r="E6" s="66"/>
      <c r="F6" s="64" t="s">
        <v>91</v>
      </c>
      <c r="G6" s="67">
        <v>9</v>
      </c>
    </row>
    <row r="7" spans="1:7" s="9" customFormat="1" x14ac:dyDescent="0.2">
      <c r="A7" s="87" t="s">
        <v>8</v>
      </c>
      <c r="B7" s="84"/>
      <c r="C7" s="87" t="s">
        <v>9</v>
      </c>
      <c r="D7" s="84"/>
      <c r="E7" s="57"/>
      <c r="F7" s="68" t="s">
        <v>10</v>
      </c>
      <c r="G7" s="69">
        <v>4</v>
      </c>
    </row>
    <row r="8" spans="1:7" s="9" customFormat="1" x14ac:dyDescent="0.2">
      <c r="A8" s="87" t="s">
        <v>11</v>
      </c>
      <c r="B8" s="84"/>
      <c r="C8" s="57" t="s">
        <v>12</v>
      </c>
      <c r="D8" s="70"/>
      <c r="E8" s="57"/>
      <c r="F8" s="68" t="s">
        <v>13</v>
      </c>
      <c r="G8" s="64">
        <v>4</v>
      </c>
    </row>
    <row r="9" spans="1:7" s="9" customFormat="1" x14ac:dyDescent="0.2">
      <c r="A9" s="87" t="s">
        <v>14</v>
      </c>
      <c r="B9" s="84"/>
      <c r="C9" s="88">
        <f>C6</f>
        <v>1240037</v>
      </c>
      <c r="D9" s="86"/>
      <c r="E9" s="71"/>
      <c r="F9" s="68" t="s">
        <v>15</v>
      </c>
      <c r="G9" s="76">
        <f>F4</f>
        <v>45728</v>
      </c>
    </row>
    <row r="10" spans="1:7" s="9" customFormat="1" x14ac:dyDescent="0.2">
      <c r="A10" s="87" t="s">
        <v>16</v>
      </c>
      <c r="B10" s="84"/>
      <c r="C10" s="87" t="s">
        <v>17</v>
      </c>
      <c r="D10" s="84"/>
      <c r="E10" s="84"/>
      <c r="F10" s="68" t="s">
        <v>18</v>
      </c>
      <c r="G10" s="76">
        <f>'Compare-1'!G8</f>
        <v>45740</v>
      </c>
    </row>
    <row r="11" spans="1:7" ht="27.75" customHeight="1" x14ac:dyDescent="0.25">
      <c r="A11" s="10" t="s">
        <v>19</v>
      </c>
      <c r="B11" s="11" t="s">
        <v>20</v>
      </c>
      <c r="C11" s="11" t="s">
        <v>96</v>
      </c>
      <c r="D11" s="89" t="s">
        <v>21</v>
      </c>
      <c r="E11" s="90"/>
      <c r="F11" s="101" t="s">
        <v>97</v>
      </c>
      <c r="G11" s="98"/>
    </row>
    <row r="12" spans="1:7" ht="22.9" customHeight="1" x14ac:dyDescent="0.25">
      <c r="A12" s="19">
        <v>1</v>
      </c>
      <c r="B12" s="12" t="s">
        <v>100</v>
      </c>
      <c r="C12" s="19">
        <v>1252562</v>
      </c>
      <c r="D12" s="23">
        <v>0</v>
      </c>
      <c r="E12" s="29" t="s">
        <v>22</v>
      </c>
      <c r="F12" s="97">
        <f>IF(E12="below",ROUNDUP(C12*(1-D12/100),0),ROUNDUP(C12*(1+D12/100),0))</f>
        <v>1252562</v>
      </c>
      <c r="G12" s="98"/>
    </row>
    <row r="13" spans="1:7" ht="18.600000000000001" customHeight="1" x14ac:dyDescent="0.25">
      <c r="A13" s="19">
        <v>2</v>
      </c>
      <c r="B13" s="12" t="s">
        <v>101</v>
      </c>
      <c r="C13" s="54">
        <f>$C$12</f>
        <v>1252562</v>
      </c>
      <c r="D13" s="23">
        <v>1</v>
      </c>
      <c r="E13" s="29" t="s">
        <v>22</v>
      </c>
      <c r="F13" s="97">
        <f t="shared" ref="F13:F15" si="0">IF(E13="below",ROUNDUP(C13*(1-D13/100),0),ROUNDUP(C13*(1+D13/100),0))</f>
        <v>1240037</v>
      </c>
      <c r="G13" s="98"/>
    </row>
    <row r="14" spans="1:7" ht="18.600000000000001" customHeight="1" x14ac:dyDescent="0.25">
      <c r="A14" s="19">
        <v>3</v>
      </c>
      <c r="B14" s="12" t="s">
        <v>102</v>
      </c>
      <c r="C14" s="54">
        <f>$C$12</f>
        <v>1252562</v>
      </c>
      <c r="D14" s="23">
        <v>1</v>
      </c>
      <c r="E14" s="29" t="s">
        <v>22</v>
      </c>
      <c r="F14" s="97">
        <f t="shared" si="0"/>
        <v>1240037</v>
      </c>
      <c r="G14" s="98"/>
    </row>
    <row r="15" spans="1:7" ht="21" customHeight="1" x14ac:dyDescent="0.25">
      <c r="A15" s="19">
        <v>4</v>
      </c>
      <c r="B15" s="12" t="s">
        <v>103</v>
      </c>
      <c r="C15" s="54">
        <f t="shared" ref="C15" si="1">$C$12</f>
        <v>1252562</v>
      </c>
      <c r="D15" s="23">
        <v>0.1</v>
      </c>
      <c r="E15" s="29" t="s">
        <v>22</v>
      </c>
      <c r="F15" s="97">
        <f t="shared" si="0"/>
        <v>1251310</v>
      </c>
      <c r="G15" s="98"/>
    </row>
    <row r="16" spans="1:7" ht="4.1500000000000004" customHeight="1" x14ac:dyDescent="0.25">
      <c r="D16" s="22"/>
      <c r="E16" s="6"/>
    </row>
    <row r="17" spans="1:7" ht="15" customHeight="1" thickBot="1" x14ac:dyDescent="0.3">
      <c r="A17" s="25" t="s">
        <v>23</v>
      </c>
      <c r="B17" s="26" t="str">
        <f>INDEX(B12:B15,MATCH(MIN(F12:F15),F12:F15,0))</f>
        <v>M/s. Powertech Engineer, Rajsamand</v>
      </c>
      <c r="C17" s="26"/>
      <c r="D17" s="27">
        <f>INDEX(D12:D15,MATCH(MIN(F12:F15),F12:F15,0))</f>
        <v>1</v>
      </c>
      <c r="E17" s="26" t="str">
        <f>INDEX(E12:E15,MATCH(MIN(F12:F15),F12:F15,0))</f>
        <v>BELOW</v>
      </c>
      <c r="F17" s="74">
        <f>ROUND(MIN(F12:F15),0)</f>
        <v>1240037</v>
      </c>
    </row>
    <row r="18" spans="1:7" ht="57" customHeight="1" x14ac:dyDescent="0.25">
      <c r="A18" s="8"/>
      <c r="B18" s="8"/>
      <c r="C18" s="91" t="e">
        <f ca="1">_xlfn.CONCAT("The tender of the lowest bidder "," ", Lowest_bidder_item2," @ ",ROUND(percentile_item2,2),"%  ",Above_Below_item2," amounting to Rs.  ",ROUND(Bid_Amount_item2,0),"/-- In words Rupees. ",NumToWords(Bid_Amount_item2),".")</f>
        <v>#NAME?</v>
      </c>
      <c r="D18" s="92"/>
      <c r="E18" s="92"/>
      <c r="F18" s="93"/>
    </row>
    <row r="19" spans="1:7" ht="13.15" customHeight="1" x14ac:dyDescent="0.25">
      <c r="A19" s="8"/>
      <c r="B19" s="8"/>
      <c r="C19" s="28"/>
      <c r="D19" s="99"/>
      <c r="E19" s="81"/>
      <c r="F19" s="100"/>
    </row>
    <row r="20" spans="1:7" ht="15" customHeight="1" thickBot="1" x14ac:dyDescent="0.3">
      <c r="A20" s="8"/>
      <c r="B20" s="8"/>
      <c r="C20" s="94" t="s">
        <v>24</v>
      </c>
      <c r="D20" s="95"/>
      <c r="E20" s="95"/>
      <c r="F20" s="96"/>
    </row>
    <row r="21" spans="1:7" ht="15" customHeight="1" x14ac:dyDescent="0.25">
      <c r="A21" s="8"/>
      <c r="B21" s="8"/>
      <c r="C21" s="50"/>
      <c r="D21" s="73"/>
      <c r="E21" s="73"/>
      <c r="F21" s="73"/>
    </row>
    <row r="22" spans="1:7" ht="15" customHeight="1" x14ac:dyDescent="0.25">
      <c r="A22" s="8"/>
      <c r="B22" s="8"/>
      <c r="C22" s="50"/>
      <c r="D22" s="73"/>
      <c r="E22" s="73"/>
      <c r="F22" s="73"/>
    </row>
    <row r="23" spans="1:7" x14ac:dyDescent="0.25">
      <c r="D23" s="22"/>
      <c r="E23" s="6"/>
      <c r="F23" s="82"/>
      <c r="G23" s="81"/>
    </row>
    <row r="24" spans="1:7" s="13" customFormat="1" ht="18" customHeight="1" x14ac:dyDescent="0.3">
      <c r="A24" s="80" t="s">
        <v>25</v>
      </c>
      <c r="B24" s="81"/>
      <c r="C24" s="81"/>
      <c r="D24" s="81"/>
      <c r="E24" s="81"/>
      <c r="F24" s="81"/>
      <c r="G24" s="81"/>
    </row>
    <row r="25" spans="1:7" s="13" customFormat="1" ht="18" customHeight="1" x14ac:dyDescent="0.3">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
  <sheetViews>
    <sheetView workbookViewId="0"/>
  </sheetViews>
  <sheetFormatPr defaultRowHeight="15" x14ac:dyDescent="0.25"/>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22"/>
  <sheetViews>
    <sheetView view="pageBreakPreview" topLeftCell="A13" zoomScaleNormal="100" zoomScaleSheetLayoutView="100" workbookViewId="0">
      <selection activeCell="F7" sqref="F7"/>
    </sheetView>
  </sheetViews>
  <sheetFormatPr defaultRowHeight="15" x14ac:dyDescent="0.25"/>
  <cols>
    <col min="1" max="1" width="8" customWidth="1"/>
    <col min="2" max="2" width="15.85546875" style="16" customWidth="1"/>
    <col min="3" max="3" width="8.85546875" customWidth="1"/>
    <col min="4" max="4" width="4.85546875" customWidth="1"/>
    <col min="5" max="5" width="62.42578125" customWidth="1"/>
  </cols>
  <sheetData>
    <row r="1" spans="1:5" ht="16.5" customHeight="1" x14ac:dyDescent="0.25">
      <c r="A1" s="127" t="s">
        <v>26</v>
      </c>
      <c r="B1" s="114"/>
      <c r="C1" s="115"/>
      <c r="D1" s="115"/>
      <c r="E1" s="115"/>
    </row>
    <row r="2" spans="1:5" ht="35.1" customHeight="1" x14ac:dyDescent="0.25">
      <c r="A2" s="1">
        <v>1</v>
      </c>
      <c r="B2" s="116" t="s">
        <v>27</v>
      </c>
      <c r="C2" s="117"/>
      <c r="D2" s="118"/>
      <c r="E2" s="3"/>
    </row>
    <row r="3" spans="1:5" s="16" customFormat="1" ht="15" customHeight="1" x14ac:dyDescent="0.25">
      <c r="A3" s="55" t="s">
        <v>28</v>
      </c>
      <c r="B3" s="119" t="s">
        <v>29</v>
      </c>
      <c r="C3" s="117"/>
      <c r="D3" s="118"/>
      <c r="E3" s="30" t="str">
        <f>'Compare-2'!C3</f>
        <v xml:space="preserve">Electric cabling and maintenance work in Sahelion ki Bari , Udaipur  </v>
      </c>
    </row>
    <row r="4" spans="1:5" ht="15" customHeight="1" x14ac:dyDescent="0.25">
      <c r="A4" s="4"/>
      <c r="B4" s="128" t="str">
        <f>'Compare-1'!B4</f>
        <v>27/2024-25</v>
      </c>
      <c r="C4" s="117"/>
      <c r="D4" s="118"/>
      <c r="E4" s="21"/>
    </row>
    <row r="5" spans="1:5" ht="15" customHeight="1" x14ac:dyDescent="0.25">
      <c r="A5" s="1">
        <v>3</v>
      </c>
      <c r="B5" s="119" t="s">
        <v>31</v>
      </c>
      <c r="C5" s="117"/>
      <c r="D5" s="118"/>
      <c r="E5" s="3"/>
    </row>
    <row r="6" spans="1:5" ht="15" customHeight="1" x14ac:dyDescent="0.25">
      <c r="A6" s="1"/>
      <c r="B6" s="129" t="s">
        <v>32</v>
      </c>
      <c r="C6" s="117"/>
      <c r="D6" s="118"/>
      <c r="E6" s="3">
        <f>'Compare-2'!C5</f>
        <v>1252562</v>
      </c>
    </row>
    <row r="7" spans="1:5" ht="50.45" customHeight="1" x14ac:dyDescent="0.25">
      <c r="A7" s="1">
        <v>4</v>
      </c>
      <c r="B7" s="119" t="s">
        <v>33</v>
      </c>
      <c r="C7" s="117"/>
      <c r="D7" s="118"/>
      <c r="E7" s="3"/>
    </row>
    <row r="8" spans="1:5" ht="35.1" customHeight="1" x14ac:dyDescent="0.25">
      <c r="A8" s="1">
        <v>5</v>
      </c>
      <c r="B8" s="116" t="s">
        <v>15</v>
      </c>
      <c r="C8" s="117"/>
      <c r="D8" s="118"/>
      <c r="E8" s="20">
        <f>'Compare-2'!F4</f>
        <v>45728</v>
      </c>
    </row>
    <row r="9" spans="1:5" ht="34.9" customHeight="1" x14ac:dyDescent="0.25">
      <c r="A9" s="1">
        <v>6</v>
      </c>
      <c r="B9" s="116" t="s">
        <v>34</v>
      </c>
      <c r="C9" s="117"/>
      <c r="D9" s="118"/>
      <c r="E9" s="20">
        <f>'Compare-2'!G10</f>
        <v>45740</v>
      </c>
    </row>
    <row r="10" spans="1:5" ht="35.1" customHeight="1" x14ac:dyDescent="0.25">
      <c r="A10" s="1">
        <v>7</v>
      </c>
      <c r="B10" s="116" t="s">
        <v>35</v>
      </c>
      <c r="C10" s="117"/>
      <c r="D10" s="118"/>
      <c r="E10" s="5">
        <f>'Compare-2'!G7</f>
        <v>4</v>
      </c>
    </row>
    <row r="11" spans="1:5" ht="34.9" customHeight="1" x14ac:dyDescent="0.25">
      <c r="A11" s="1">
        <v>8</v>
      </c>
      <c r="B11" s="116" t="s">
        <v>36</v>
      </c>
      <c r="C11" s="117"/>
      <c r="D11" s="118"/>
      <c r="E11" s="5">
        <f>'Compare-2'!G8</f>
        <v>4</v>
      </c>
    </row>
    <row r="12" spans="1:5" ht="34.9" customHeight="1" x14ac:dyDescent="0.25">
      <c r="A12" s="1">
        <v>9</v>
      </c>
      <c r="B12" s="119" t="s">
        <v>37</v>
      </c>
      <c r="C12" s="117"/>
      <c r="D12" s="118"/>
      <c r="E12" s="2" t="s">
        <v>38</v>
      </c>
    </row>
    <row r="13" spans="1:5" ht="35.1" customHeight="1" x14ac:dyDescent="0.25">
      <c r="A13" s="1">
        <v>10</v>
      </c>
      <c r="B13" s="116" t="s">
        <v>39</v>
      </c>
      <c r="C13" s="117"/>
      <c r="D13" s="118"/>
      <c r="E13" s="37" t="s">
        <v>9</v>
      </c>
    </row>
    <row r="14" spans="1:5" ht="40.5" customHeight="1" x14ac:dyDescent="0.25">
      <c r="A14" s="55" t="s">
        <v>40</v>
      </c>
      <c r="B14" s="120" t="s">
        <v>41</v>
      </c>
      <c r="C14" s="121"/>
      <c r="D14" s="121"/>
      <c r="E14" s="38" t="str">
        <f>_xlfn.CONCAT(TEXT(ROUND([0]!percentile_item2,4), "#,##0.00"), " % ", [0]!Above_Below_item2, ". No Condition.")</f>
        <v>1.00 % BELOW. No Condition.</v>
      </c>
    </row>
    <row r="15" spans="1:5" ht="44.25" customHeight="1" x14ac:dyDescent="0.25">
      <c r="A15" s="55" t="s">
        <v>42</v>
      </c>
      <c r="B15" s="119" t="s">
        <v>43</v>
      </c>
      <c r="C15" s="117"/>
      <c r="D15" s="118"/>
      <c r="E15" s="33" t="s">
        <v>44</v>
      </c>
    </row>
    <row r="16" spans="1:5" ht="35.1" customHeight="1" x14ac:dyDescent="0.25">
      <c r="A16" s="1">
        <v>13</v>
      </c>
      <c r="B16" s="116" t="s">
        <v>45</v>
      </c>
      <c r="C16" s="117"/>
      <c r="D16" s="118"/>
      <c r="E16" s="15" t="str">
        <f>[0]!Lowest_bidder_item2</f>
        <v>M/s. Powertech Engineer, Rajsamand</v>
      </c>
    </row>
    <row r="17" spans="1:5" ht="52.15" customHeight="1" x14ac:dyDescent="0.25">
      <c r="A17" s="56" t="s">
        <v>46</v>
      </c>
      <c r="B17" s="125" t="s">
        <v>47</v>
      </c>
      <c r="C17" s="121"/>
      <c r="D17" s="126"/>
      <c r="E17" s="2" t="s">
        <v>48</v>
      </c>
    </row>
    <row r="18" spans="1:5" x14ac:dyDescent="0.25">
      <c r="A18" s="35">
        <v>15</v>
      </c>
      <c r="B18" s="122" t="s">
        <v>49</v>
      </c>
      <c r="C18" s="123"/>
      <c r="D18" s="124"/>
      <c r="E18" s="31" t="s">
        <v>50</v>
      </c>
    </row>
    <row r="19" spans="1:5" x14ac:dyDescent="0.25">
      <c r="A19" s="36"/>
      <c r="B19" s="107" t="s">
        <v>51</v>
      </c>
      <c r="C19" s="108"/>
      <c r="D19" s="109"/>
      <c r="E19" s="32">
        <f>'Compare-2'!G10+20</f>
        <v>45760</v>
      </c>
    </row>
    <row r="20" spans="1:5" x14ac:dyDescent="0.25">
      <c r="A20" s="34">
        <v>16</v>
      </c>
      <c r="B20" s="110" t="s">
        <v>52</v>
      </c>
      <c r="C20" s="111"/>
      <c r="D20" s="112"/>
      <c r="E20" s="2" t="s">
        <v>53</v>
      </c>
    </row>
    <row r="21" spans="1:5" ht="35.1" customHeight="1" x14ac:dyDescent="0.25">
      <c r="A21" s="17"/>
      <c r="B21" s="18"/>
      <c r="C21" s="18"/>
      <c r="D21" s="18"/>
      <c r="E21" s="18"/>
    </row>
    <row r="22" spans="1:5" ht="15" customHeight="1" x14ac:dyDescent="0.25">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I41"/>
  <sheetViews>
    <sheetView view="pageBreakPreview" topLeftCell="A7" zoomScaleNormal="100" zoomScaleSheetLayoutView="100" workbookViewId="0">
      <selection activeCell="A16" sqref="A16:I16"/>
    </sheetView>
  </sheetViews>
  <sheetFormatPr defaultColWidth="8.85546875" defaultRowHeight="15" x14ac:dyDescent="0.25"/>
  <cols>
    <col min="1" max="2" width="8.85546875" style="40" customWidth="1"/>
    <col min="3" max="5" width="10.28515625" style="40" bestFit="1" customWidth="1"/>
    <col min="6" max="6" width="8.85546875" style="40" customWidth="1"/>
    <col min="7" max="16384" width="8.85546875" style="40"/>
  </cols>
  <sheetData>
    <row r="1" spans="1:9" x14ac:dyDescent="0.25">
      <c r="A1" s="132" t="s">
        <v>54</v>
      </c>
      <c r="B1" s="131"/>
      <c r="C1" s="131"/>
      <c r="D1" s="131"/>
      <c r="E1" s="131"/>
      <c r="F1" s="131"/>
      <c r="G1" s="131"/>
      <c r="H1" s="131"/>
      <c r="I1" s="131"/>
    </row>
    <row r="2" spans="1:9" x14ac:dyDescent="0.25">
      <c r="A2" s="39"/>
      <c r="B2" s="39"/>
      <c r="C2" s="39"/>
      <c r="D2" s="39"/>
      <c r="E2" s="39"/>
      <c r="F2" s="39"/>
      <c r="G2" s="39"/>
      <c r="H2" s="41" t="s">
        <v>55</v>
      </c>
      <c r="I2" s="39"/>
    </row>
    <row r="3" spans="1:9" x14ac:dyDescent="0.25">
      <c r="A3" s="42" t="s">
        <v>56</v>
      </c>
      <c r="B3" s="39"/>
      <c r="C3" s="39"/>
      <c r="D3" s="39"/>
      <c r="E3" s="39"/>
      <c r="F3" s="39"/>
      <c r="G3" s="42" t="s">
        <v>57</v>
      </c>
      <c r="H3" s="42"/>
      <c r="I3" s="39"/>
    </row>
    <row r="4" spans="1:9" x14ac:dyDescent="0.25">
      <c r="A4" s="133" t="s">
        <v>94</v>
      </c>
      <c r="B4" s="131"/>
      <c r="C4" s="131"/>
      <c r="D4" s="131"/>
      <c r="E4" s="131"/>
      <c r="F4" s="131"/>
      <c r="G4" s="131"/>
      <c r="H4" s="131"/>
      <c r="I4" s="131"/>
    </row>
    <row r="5" spans="1:9" x14ac:dyDescent="0.25">
      <c r="A5" s="53" t="s">
        <v>93</v>
      </c>
    </row>
    <row r="6" spans="1:9" x14ac:dyDescent="0.25">
      <c r="A6" s="43" t="str">
        <f>[0]!Lowest_bidder_item2</f>
        <v>M/s. Powertech Engineer, Rajsamand</v>
      </c>
    </row>
    <row r="7" spans="1:9" x14ac:dyDescent="0.25">
      <c r="A7" s="43"/>
    </row>
    <row r="9" spans="1:9" ht="31.15" customHeight="1" x14ac:dyDescent="0.25">
      <c r="A9" s="44" t="s">
        <v>58</v>
      </c>
      <c r="B9" s="44"/>
      <c r="C9" s="134" t="str">
        <f>'Compare-2'!C3</f>
        <v xml:space="preserve">Electric cabling and maintenance work in Sahelion ki Bari , Udaipur  </v>
      </c>
      <c r="D9" s="131"/>
      <c r="E9" s="131"/>
      <c r="F9" s="131"/>
      <c r="G9" s="131"/>
      <c r="H9" s="131"/>
      <c r="I9" s="131"/>
    </row>
    <row r="10" spans="1:9" x14ac:dyDescent="0.25">
      <c r="A10" s="40" t="s">
        <v>59</v>
      </c>
      <c r="C10" s="40" t="str">
        <f>'Compare-2'!B4</f>
        <v>27/2024-25</v>
      </c>
      <c r="E10" s="40" t="str">
        <f>'Compare-2'!G4</f>
        <v>ITEM-2</v>
      </c>
      <c r="G10" s="45">
        <f>'Compare-1'!G8</f>
        <v>45740</v>
      </c>
    </row>
    <row r="11" spans="1:9" x14ac:dyDescent="0.25">
      <c r="A11" s="40" t="s">
        <v>60</v>
      </c>
      <c r="C11" s="45">
        <f>'Compare-2'!F4</f>
        <v>45728</v>
      </c>
    </row>
    <row r="12" spans="1:9" x14ac:dyDescent="0.25">
      <c r="A12" s="40" t="s">
        <v>61</v>
      </c>
      <c r="D12" s="45">
        <f>'Compare-2'!G10</f>
        <v>45740</v>
      </c>
    </row>
    <row r="13" spans="1:9" x14ac:dyDescent="0.25">
      <c r="A13" s="40" t="s">
        <v>62</v>
      </c>
      <c r="E13" s="45">
        <f>D12</f>
        <v>45740</v>
      </c>
    </row>
    <row r="14" spans="1:9" x14ac:dyDescent="0.25">
      <c r="A14" s="40" t="s">
        <v>63</v>
      </c>
    </row>
    <row r="15" spans="1:9" ht="64.900000000000006" customHeight="1" x14ac:dyDescent="0.25">
      <c r="A15" s="135" t="e">
        <f ca="1">_xlfn.CONCAT("       Your tender for the above work has been accepted on behalf of the Governor of Rajasthan @  ",ROUND([0]!percentile_item2,2), "%  ",[0]!Above_Below_item2," amounting to Rs.  ",ROUND([0]!Bid_Amount_item2,0),"/-- In words Rupees. ",NumToWords([0]!Bid_Amount_item2),".")</f>
        <v>#NAME?</v>
      </c>
      <c r="B15" s="131"/>
      <c r="C15" s="131"/>
      <c r="D15" s="131"/>
      <c r="E15" s="131"/>
      <c r="F15" s="131"/>
      <c r="G15" s="131"/>
      <c r="H15" s="131"/>
      <c r="I15" s="131"/>
    </row>
    <row r="16" spans="1:9" ht="66" customHeight="1" x14ac:dyDescent="0.25">
      <c r="A16" s="135" t="s">
        <v>64</v>
      </c>
      <c r="B16" s="131"/>
      <c r="C16" s="131"/>
      <c r="D16" s="131"/>
      <c r="E16" s="131"/>
      <c r="F16" s="131"/>
      <c r="G16" s="131"/>
      <c r="H16" s="131"/>
      <c r="I16" s="131"/>
    </row>
    <row r="18" spans="1:9" x14ac:dyDescent="0.25">
      <c r="A18" s="40" t="s">
        <v>65</v>
      </c>
    </row>
    <row r="19" spans="1:9" x14ac:dyDescent="0.25">
      <c r="A19" s="40" t="s">
        <v>66</v>
      </c>
      <c r="F19" s="130">
        <v>45741</v>
      </c>
      <c r="G19" s="131"/>
    </row>
    <row r="20" spans="1:9" x14ac:dyDescent="0.25">
      <c r="A20" s="40" t="s">
        <v>67</v>
      </c>
      <c r="F20" s="130">
        <v>46015.23</v>
      </c>
      <c r="G20" s="131"/>
    </row>
    <row r="21" spans="1:9" x14ac:dyDescent="0.25">
      <c r="A21" s="40" t="s">
        <v>68</v>
      </c>
    </row>
    <row r="22" spans="1:9" x14ac:dyDescent="0.25">
      <c r="A22" s="40" t="s">
        <v>69</v>
      </c>
    </row>
    <row r="23" spans="1:9" x14ac:dyDescent="0.25">
      <c r="A23" s="40" t="s">
        <v>70</v>
      </c>
    </row>
    <row r="25" spans="1:9" x14ac:dyDescent="0.25">
      <c r="A25" s="40" t="s">
        <v>71</v>
      </c>
    </row>
    <row r="27" spans="1:9" x14ac:dyDescent="0.25">
      <c r="A27" s="40" t="s">
        <v>72</v>
      </c>
    </row>
    <row r="28" spans="1:9" x14ac:dyDescent="0.25">
      <c r="A28" s="40" t="s">
        <v>73</v>
      </c>
    </row>
    <row r="29" spans="1:9" x14ac:dyDescent="0.25">
      <c r="A29" s="42" t="s">
        <v>56</v>
      </c>
      <c r="B29" s="39"/>
      <c r="C29" s="39"/>
      <c r="D29" s="39"/>
      <c r="E29" s="39"/>
      <c r="F29" s="39"/>
      <c r="G29" s="42" t="s">
        <v>57</v>
      </c>
      <c r="H29" s="42"/>
      <c r="I29" s="39"/>
    </row>
    <row r="30" spans="1:9" x14ac:dyDescent="0.25">
      <c r="A30" s="40" t="s">
        <v>74</v>
      </c>
    </row>
    <row r="31" spans="1:9" x14ac:dyDescent="0.25">
      <c r="A31" s="40" t="s">
        <v>75</v>
      </c>
    </row>
    <row r="32" spans="1:9" x14ac:dyDescent="0.25">
      <c r="A32" s="40" t="s">
        <v>76</v>
      </c>
    </row>
    <row r="33" spans="1:1" x14ac:dyDescent="0.25">
      <c r="A33" s="40" t="s">
        <v>77</v>
      </c>
    </row>
    <row r="34" spans="1:1" x14ac:dyDescent="0.25">
      <c r="A34" s="40" t="s">
        <v>78</v>
      </c>
    </row>
    <row r="35" spans="1:1" x14ac:dyDescent="0.25">
      <c r="A35" s="40" t="s">
        <v>79</v>
      </c>
    </row>
    <row r="36" spans="1:1" x14ac:dyDescent="0.25">
      <c r="A36" s="40" t="s">
        <v>80</v>
      </c>
    </row>
    <row r="37" spans="1:1" x14ac:dyDescent="0.25">
      <c r="A37" s="40" t="s">
        <v>81</v>
      </c>
    </row>
    <row r="38" spans="1:1" x14ac:dyDescent="0.25">
      <c r="A38" s="40" t="s">
        <v>82</v>
      </c>
    </row>
    <row r="40" spans="1:1" x14ac:dyDescent="0.25">
      <c r="A40" s="40" t="s">
        <v>83</v>
      </c>
    </row>
    <row r="41" spans="1:1" x14ac:dyDescent="0.25">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I28"/>
  <sheetViews>
    <sheetView view="pageBreakPreview" zoomScaleNormal="100" zoomScaleSheetLayoutView="100" workbookViewId="0">
      <selection activeCell="A16" sqref="A16:I16"/>
    </sheetView>
  </sheetViews>
  <sheetFormatPr defaultColWidth="8.85546875" defaultRowHeight="15" x14ac:dyDescent="0.25"/>
  <cols>
    <col min="1" max="2" width="8.85546875" style="40" customWidth="1"/>
    <col min="3" max="5" width="11.28515625" style="40" bestFit="1" customWidth="1"/>
    <col min="6" max="6" width="8.85546875" style="40" customWidth="1"/>
    <col min="7" max="16384" width="8.85546875" style="40"/>
  </cols>
  <sheetData>
    <row r="1" spans="1:9" ht="15.75" x14ac:dyDescent="0.25">
      <c r="A1" s="138" t="s">
        <v>54</v>
      </c>
      <c r="B1" s="137"/>
      <c r="C1" s="137"/>
      <c r="D1" s="137"/>
      <c r="E1" s="137"/>
      <c r="F1" s="137"/>
      <c r="G1" s="137"/>
      <c r="H1" s="137"/>
      <c r="I1" s="137"/>
    </row>
    <row r="2" spans="1:9" x14ac:dyDescent="0.25">
      <c r="A2" s="42" t="s">
        <v>56</v>
      </c>
      <c r="B2" s="39"/>
      <c r="C2" s="39"/>
      <c r="D2" s="39"/>
      <c r="E2" s="39"/>
      <c r="F2" s="39"/>
      <c r="G2" s="42" t="s">
        <v>57</v>
      </c>
      <c r="H2" s="42"/>
      <c r="I2" s="39"/>
    </row>
    <row r="3" spans="1:9" ht="18.75" x14ac:dyDescent="0.3">
      <c r="A3" s="139" t="s">
        <v>85</v>
      </c>
      <c r="B3" s="140"/>
      <c r="C3" s="140"/>
      <c r="D3" s="140"/>
      <c r="E3" s="140"/>
      <c r="F3" s="140"/>
      <c r="G3" s="140"/>
      <c r="H3" s="140"/>
      <c r="I3" s="140"/>
    </row>
    <row r="4" spans="1:9" x14ac:dyDescent="0.25">
      <c r="A4" s="53" t="s">
        <v>93</v>
      </c>
      <c r="B4" s="40" t="str">
        <f>'Compare-1'!B4</f>
        <v>27/2024-25</v>
      </c>
      <c r="F4" s="45">
        <f>'Compare-1'!F4</f>
        <v>45728</v>
      </c>
    </row>
    <row r="5" spans="1:9" x14ac:dyDescent="0.25">
      <c r="A5" s="43" t="str">
        <f>[0]!Lowest_bidder_item2</f>
        <v>M/s. Powertech Engineer, Rajsamand</v>
      </c>
    </row>
    <row r="6" spans="1:9" x14ac:dyDescent="0.25">
      <c r="A6" s="43"/>
    </row>
    <row r="8" spans="1:9" s="47" customFormat="1" ht="31.15" customHeight="1" x14ac:dyDescent="0.25">
      <c r="A8" s="51" t="s">
        <v>89</v>
      </c>
      <c r="B8" s="46"/>
      <c r="C8" s="141" t="s">
        <v>3</v>
      </c>
      <c r="D8" s="137"/>
      <c r="E8" s="137"/>
      <c r="F8" s="137"/>
      <c r="G8" s="137"/>
      <c r="H8" s="137"/>
      <c r="I8" s="137"/>
    </row>
    <row r="9" spans="1:9" s="47" customFormat="1" ht="15.6" customHeight="1" x14ac:dyDescent="0.25">
      <c r="A9" s="47" t="s">
        <v>59</v>
      </c>
      <c r="C9" s="47" t="str">
        <f>'Compare-2'!B4</f>
        <v>27/2024-25</v>
      </c>
      <c r="E9" s="52" t="str">
        <f>'Compare-2'!G4</f>
        <v>ITEM-2</v>
      </c>
    </row>
    <row r="10" spans="1:9" s="47" customFormat="1" ht="15.6" customHeight="1" x14ac:dyDescent="0.25">
      <c r="A10" s="47" t="s">
        <v>60</v>
      </c>
      <c r="C10" s="48">
        <f>'Compare-2'!F4</f>
        <v>45728</v>
      </c>
      <c r="G10" s="48">
        <f>'Compare-1'!G8</f>
        <v>45740</v>
      </c>
    </row>
    <row r="11" spans="1:9" s="47" customFormat="1" ht="15.6" customHeight="1" x14ac:dyDescent="0.25">
      <c r="A11" s="47" t="s">
        <v>61</v>
      </c>
      <c r="D11" s="48">
        <f>'Compare-2'!G10</f>
        <v>45740</v>
      </c>
    </row>
    <row r="12" spans="1:9" s="47" customFormat="1" ht="15.6" customHeight="1" x14ac:dyDescent="0.25">
      <c r="A12" s="47" t="s">
        <v>62</v>
      </c>
      <c r="E12" s="48">
        <f>D11</f>
        <v>45740</v>
      </c>
    </row>
    <row r="13" spans="1:9" s="47" customFormat="1" ht="15.6" customHeight="1" x14ac:dyDescent="0.25">
      <c r="A13" s="47" t="s">
        <v>63</v>
      </c>
    </row>
    <row r="14" spans="1:9" s="47" customFormat="1" ht="74.45" customHeight="1" x14ac:dyDescent="0.25">
      <c r="A14" s="136" t="e">
        <f ca="1">_xlfn.CONCAT("       Your tender for the above work has been accepted on behalf of the Governor of Rajasthan @  ",ROUND([0]!percentile_item2,2), "%  ",[0]!Above_Below_item2," amounting to Rs.  ",ROUND([0]!Bid_Amount_item2,0),"/-- In words Rupees. ",NumToWords([0]!Bid_Amount_item2),"by the undersingned Executive Engineer PWD Electric Divistion Udaipur.")</f>
        <v>#NAME?</v>
      </c>
      <c r="B14" s="137"/>
      <c r="C14" s="137"/>
      <c r="D14" s="137"/>
      <c r="E14" s="137"/>
      <c r="F14" s="137"/>
      <c r="G14" s="137"/>
      <c r="H14" s="137"/>
      <c r="I14" s="137"/>
    </row>
    <row r="15" spans="1:9" s="47" customFormat="1" ht="109.9" customHeight="1" x14ac:dyDescent="0.25">
      <c r="A15" s="136" t="s">
        <v>86</v>
      </c>
      <c r="B15" s="137"/>
      <c r="C15" s="137"/>
      <c r="D15" s="137"/>
      <c r="E15" s="137"/>
      <c r="F15" s="137"/>
      <c r="G15" s="137"/>
      <c r="H15" s="137"/>
      <c r="I15" s="137"/>
    </row>
    <row r="16" spans="1:9" s="47" customFormat="1" ht="15.6" customHeight="1" x14ac:dyDescent="0.25">
      <c r="A16" s="47" t="s">
        <v>87</v>
      </c>
    </row>
    <row r="17" spans="1:9" s="47" customFormat="1" ht="15.6" customHeight="1" x14ac:dyDescent="0.25"/>
    <row r="18" spans="1:9" s="47" customFormat="1" ht="15.6" customHeight="1" x14ac:dyDescent="0.25">
      <c r="A18" s="47" t="s">
        <v>71</v>
      </c>
    </row>
    <row r="19" spans="1:9" s="47" customFormat="1" ht="15.6" customHeight="1" x14ac:dyDescent="0.25"/>
    <row r="20" spans="1:9" s="47" customFormat="1" ht="15.6" customHeight="1" x14ac:dyDescent="0.25">
      <c r="A20" s="47" t="s">
        <v>72</v>
      </c>
    </row>
    <row r="21" spans="1:9" s="47" customFormat="1" ht="15.6" customHeight="1" x14ac:dyDescent="0.25">
      <c r="A21" s="47" t="s">
        <v>73</v>
      </c>
    </row>
    <row r="22" spans="1:9" s="47" customFormat="1" ht="15.6" customHeight="1" x14ac:dyDescent="0.25">
      <c r="A22" s="49" t="s">
        <v>56</v>
      </c>
      <c r="B22" s="49"/>
      <c r="C22" s="49"/>
      <c r="D22" s="49"/>
      <c r="E22" s="49"/>
      <c r="F22" s="49"/>
      <c r="G22" s="49" t="s">
        <v>57</v>
      </c>
      <c r="H22" s="49"/>
      <c r="I22" s="49"/>
    </row>
    <row r="23" spans="1:9" s="47" customFormat="1" ht="15.6" customHeight="1" x14ac:dyDescent="0.25">
      <c r="A23" s="47" t="s">
        <v>74</v>
      </c>
    </row>
    <row r="24" spans="1:9" s="47" customFormat="1" ht="15.6" customHeight="1" x14ac:dyDescent="0.25">
      <c r="A24" s="47" t="s">
        <v>88</v>
      </c>
    </row>
    <row r="25" spans="1:9" s="47" customFormat="1" ht="15.6" customHeight="1" x14ac:dyDescent="0.25">
      <c r="A25" s="47" t="s">
        <v>90</v>
      </c>
    </row>
    <row r="26" spans="1:9" s="47" customFormat="1" ht="15.6" customHeight="1" x14ac:dyDescent="0.25"/>
    <row r="27" spans="1:9" x14ac:dyDescent="0.25">
      <c r="A27" s="40" t="s">
        <v>83</v>
      </c>
    </row>
    <row r="28" spans="1:9" x14ac:dyDescent="0.25">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25"/>
  <sheetViews>
    <sheetView view="pageBreakPreview" zoomScaleNormal="100" zoomScaleSheetLayoutView="100" workbookViewId="0">
      <selection activeCell="M26" sqref="M26"/>
    </sheetView>
  </sheetViews>
  <sheetFormatPr defaultColWidth="9.140625" defaultRowHeight="15" x14ac:dyDescent="0.25"/>
  <cols>
    <col min="1" max="1" width="9.140625" style="6" customWidth="1"/>
    <col min="2" max="2" width="49.28515625" style="6" customWidth="1"/>
    <col min="3" max="3" width="12.7109375" style="6" customWidth="1"/>
    <col min="4" max="4" width="9" style="6" customWidth="1"/>
    <col min="5" max="5" width="6.7109375" style="22" customWidth="1"/>
    <col min="6" max="6" width="26" style="6" customWidth="1"/>
    <col min="7" max="7" width="14.28515625" style="6" customWidth="1"/>
    <col min="8" max="16384" width="9.140625" style="6"/>
  </cols>
  <sheetData>
    <row r="1" spans="1:7" x14ac:dyDescent="0.25">
      <c r="A1" s="102" t="s">
        <v>0</v>
      </c>
      <c r="B1" s="103"/>
      <c r="C1" s="103"/>
      <c r="D1" s="103"/>
      <c r="E1" s="103"/>
      <c r="F1" s="103"/>
      <c r="G1" s="103"/>
    </row>
    <row r="2" spans="1:7" ht="15.6" customHeight="1" x14ac:dyDescent="0.25">
      <c r="A2" s="104" t="s">
        <v>1</v>
      </c>
      <c r="B2" s="103"/>
      <c r="C2" s="103"/>
      <c r="D2" s="103"/>
      <c r="E2" s="103"/>
      <c r="F2" s="103"/>
      <c r="G2" s="103"/>
    </row>
    <row r="3" spans="1:7" ht="31.15" customHeight="1" x14ac:dyDescent="0.25">
      <c r="A3" s="7" t="s">
        <v>2</v>
      </c>
      <c r="C3" s="106" t="s">
        <v>3</v>
      </c>
      <c r="D3" s="106"/>
      <c r="E3" s="106"/>
      <c r="F3" s="106"/>
      <c r="G3" s="106"/>
    </row>
    <row r="4" spans="1:7" x14ac:dyDescent="0.25">
      <c r="A4" s="58" t="s">
        <v>4</v>
      </c>
      <c r="B4" s="77" t="str">
        <f>'Compare-1'!B4</f>
        <v>27/2024-25</v>
      </c>
      <c r="C4" s="142" t="s">
        <v>5</v>
      </c>
      <c r="D4" s="143"/>
      <c r="E4" s="143"/>
      <c r="F4" s="78">
        <f>'Compare-1'!F4</f>
        <v>45728</v>
      </c>
      <c r="G4" s="75" t="s">
        <v>111</v>
      </c>
    </row>
    <row r="5" spans="1:7" s="9" customFormat="1" x14ac:dyDescent="0.2">
      <c r="A5" s="62" t="s">
        <v>92</v>
      </c>
      <c r="B5" s="62"/>
      <c r="C5" s="144">
        <f>C12</f>
        <v>641694</v>
      </c>
      <c r="D5" s="143"/>
      <c r="E5" s="63"/>
      <c r="F5" s="64" t="s">
        <v>98</v>
      </c>
      <c r="G5" s="65">
        <v>13000</v>
      </c>
    </row>
    <row r="6" spans="1:7" s="9" customFormat="1" x14ac:dyDescent="0.2">
      <c r="A6" s="62" t="s">
        <v>7</v>
      </c>
      <c r="B6" s="62"/>
      <c r="C6" s="85">
        <f>ROUNDUP(F17,0)</f>
        <v>628861</v>
      </c>
      <c r="D6" s="86"/>
      <c r="E6" s="66"/>
      <c r="F6" s="64" t="s">
        <v>91</v>
      </c>
      <c r="G6" s="67">
        <v>9</v>
      </c>
    </row>
    <row r="7" spans="1:7" s="9" customFormat="1" x14ac:dyDescent="0.2">
      <c r="A7" s="87" t="s">
        <v>8</v>
      </c>
      <c r="B7" s="84"/>
      <c r="C7" s="87" t="s">
        <v>9</v>
      </c>
      <c r="D7" s="84"/>
      <c r="E7" s="57"/>
      <c r="F7" s="68" t="s">
        <v>15</v>
      </c>
      <c r="G7" s="76">
        <v>45728</v>
      </c>
    </row>
    <row r="8" spans="1:7" s="9" customFormat="1" x14ac:dyDescent="0.2">
      <c r="A8" s="87" t="s">
        <v>11</v>
      </c>
      <c r="B8" s="84"/>
      <c r="C8" s="57" t="s">
        <v>12</v>
      </c>
      <c r="D8" s="70"/>
      <c r="E8" s="57"/>
      <c r="F8" s="68" t="s">
        <v>18</v>
      </c>
      <c r="G8" s="76">
        <v>45740</v>
      </c>
    </row>
    <row r="9" spans="1:7" s="9" customFormat="1" x14ac:dyDescent="0.2">
      <c r="A9" s="87" t="s">
        <v>14</v>
      </c>
      <c r="B9" s="84"/>
      <c r="C9" s="88">
        <f>C6</f>
        <v>628861</v>
      </c>
      <c r="D9" s="86"/>
      <c r="E9" s="71"/>
      <c r="F9" s="68"/>
      <c r="G9" s="76"/>
    </row>
    <row r="10" spans="1:7" s="9" customFormat="1" x14ac:dyDescent="0.2">
      <c r="A10" s="87" t="s">
        <v>16</v>
      </c>
      <c r="B10" s="84"/>
      <c r="C10" s="87" t="s">
        <v>17</v>
      </c>
      <c r="D10" s="84"/>
      <c r="E10" s="84"/>
      <c r="F10" s="68"/>
      <c r="G10" s="76"/>
    </row>
    <row r="11" spans="1:7" ht="27.75" customHeight="1" x14ac:dyDescent="0.25">
      <c r="A11" s="10" t="s">
        <v>19</v>
      </c>
      <c r="B11" s="11" t="s">
        <v>20</v>
      </c>
      <c r="C11" s="11" t="s">
        <v>96</v>
      </c>
      <c r="D11" s="89" t="s">
        <v>21</v>
      </c>
      <c r="E11" s="90"/>
      <c r="F11" s="101" t="s">
        <v>97</v>
      </c>
      <c r="G11" s="98"/>
    </row>
    <row r="12" spans="1:7" ht="22.9" customHeight="1" x14ac:dyDescent="0.25">
      <c r="A12" s="19">
        <v>1</v>
      </c>
      <c r="B12" s="12" t="s">
        <v>100</v>
      </c>
      <c r="C12" s="19">
        <v>641694</v>
      </c>
      <c r="D12" s="23">
        <v>2</v>
      </c>
      <c r="E12" s="29" t="s">
        <v>22</v>
      </c>
      <c r="F12" s="97">
        <f>IF(E12="below",ROUNDUP(C12*(1-D12/100),0),ROUNDUP(C12*(1+D12/100),0))</f>
        <v>628861</v>
      </c>
      <c r="G12" s="98"/>
    </row>
    <row r="13" spans="1:7" ht="18.600000000000001" customHeight="1" x14ac:dyDescent="0.25">
      <c r="A13" s="19">
        <v>2</v>
      </c>
      <c r="B13" s="12" t="s">
        <v>101</v>
      </c>
      <c r="C13" s="54">
        <f>$C$12</f>
        <v>641694</v>
      </c>
      <c r="D13" s="23">
        <v>1</v>
      </c>
      <c r="E13" s="29" t="s">
        <v>22</v>
      </c>
      <c r="F13" s="97">
        <f t="shared" ref="F13:F15" si="0">IF(E13="below",ROUNDUP(C13*(1-D13/100),0),ROUNDUP(C13*(1+D13/100),0))</f>
        <v>635278</v>
      </c>
      <c r="G13" s="98"/>
    </row>
    <row r="14" spans="1:7" ht="18.600000000000001" customHeight="1" x14ac:dyDescent="0.25">
      <c r="A14" s="19">
        <v>3</v>
      </c>
      <c r="B14" s="12" t="s">
        <v>102</v>
      </c>
      <c r="C14" s="54">
        <f>$C$12</f>
        <v>641694</v>
      </c>
      <c r="D14" s="23">
        <v>1</v>
      </c>
      <c r="E14" s="29" t="s">
        <v>22</v>
      </c>
      <c r="F14" s="97">
        <f t="shared" si="0"/>
        <v>635278</v>
      </c>
      <c r="G14" s="98"/>
    </row>
    <row r="15" spans="1:7" ht="21" customHeight="1" x14ac:dyDescent="0.25">
      <c r="A15" s="19">
        <v>4</v>
      </c>
      <c r="B15" s="12" t="s">
        <v>103</v>
      </c>
      <c r="C15" s="54">
        <f t="shared" ref="C15" si="1">$C$12</f>
        <v>641694</v>
      </c>
      <c r="D15" s="23">
        <v>0.1</v>
      </c>
      <c r="E15" s="29" t="s">
        <v>22</v>
      </c>
      <c r="F15" s="97">
        <f t="shared" si="0"/>
        <v>641053</v>
      </c>
      <c r="G15" s="98"/>
    </row>
    <row r="16" spans="1:7" ht="4.1500000000000004" customHeight="1" x14ac:dyDescent="0.25">
      <c r="D16" s="22"/>
      <c r="E16" s="6"/>
    </row>
    <row r="17" spans="1:7" ht="15" customHeight="1" thickBot="1" x14ac:dyDescent="0.3">
      <c r="A17" s="25" t="s">
        <v>23</v>
      </c>
      <c r="B17" s="26" t="str">
        <f>INDEX(B12:B15,MATCH(MIN(F12:F15),F12:F15,0))</f>
        <v>M/s. Vikas Enterprises, Udaipur</v>
      </c>
      <c r="C17" s="26"/>
      <c r="D17" s="27">
        <f>INDEX(D12:D15,MATCH(MIN(F12:F15),F12:F15,0))</f>
        <v>2</v>
      </c>
      <c r="E17" s="26" t="str">
        <f>INDEX(E12:E15,MATCH(MIN(F12:F15),F12:F15,0))</f>
        <v>BELOW</v>
      </c>
      <c r="F17" s="74">
        <f>ROUND(MIN(F12:F15),0)</f>
        <v>628861</v>
      </c>
    </row>
    <row r="18" spans="1:7" ht="57" customHeight="1" x14ac:dyDescent="0.25">
      <c r="A18" s="8"/>
      <c r="B18" s="8"/>
      <c r="C18" s="91" t="e">
        <f ca="1">_xlfn.CONCAT("The tender of the lowest bidder "," ", Lowest_bidder_item3," @ ",ROUND(percentile_item3,2),"%  ",Above_Below_item3," amounting to Rs.  ",ROUND(Bid_Amount_item3,0),"/-- In words Rupees. ",NumToWords(Bid_Amount_item3),".")</f>
        <v>#NAME?</v>
      </c>
      <c r="D18" s="92"/>
      <c r="E18" s="92"/>
      <c r="F18" s="93"/>
    </row>
    <row r="19" spans="1:7" ht="13.15" customHeight="1" x14ac:dyDescent="0.25">
      <c r="A19" s="8"/>
      <c r="B19" s="8"/>
      <c r="C19" s="28"/>
      <c r="D19" s="99"/>
      <c r="E19" s="81"/>
      <c r="F19" s="100"/>
    </row>
    <row r="20" spans="1:7" ht="15" customHeight="1" thickBot="1" x14ac:dyDescent="0.3">
      <c r="A20" s="8"/>
      <c r="B20" s="8"/>
      <c r="C20" s="94" t="s">
        <v>24</v>
      </c>
      <c r="D20" s="95"/>
      <c r="E20" s="95"/>
      <c r="F20" s="96"/>
    </row>
    <row r="21" spans="1:7" ht="15" customHeight="1" x14ac:dyDescent="0.25">
      <c r="A21" s="8"/>
      <c r="B21" s="8"/>
      <c r="C21" s="50"/>
      <c r="D21" s="73"/>
      <c r="E21" s="73"/>
      <c r="F21" s="73"/>
    </row>
    <row r="22" spans="1:7" ht="15" customHeight="1" x14ac:dyDescent="0.25">
      <c r="A22" s="8"/>
      <c r="B22" s="8"/>
      <c r="C22" s="50"/>
      <c r="D22" s="73"/>
      <c r="E22" s="73"/>
      <c r="F22" s="73"/>
    </row>
    <row r="23" spans="1:7" x14ac:dyDescent="0.25">
      <c r="D23" s="22"/>
      <c r="E23" s="6"/>
      <c r="F23" s="82"/>
      <c r="G23" s="81"/>
    </row>
    <row r="24" spans="1:7" s="13" customFormat="1" ht="18" customHeight="1" x14ac:dyDescent="0.3">
      <c r="A24" s="80" t="s">
        <v>25</v>
      </c>
      <c r="B24" s="81"/>
      <c r="C24" s="81"/>
      <c r="D24" s="81"/>
      <c r="E24" s="81"/>
      <c r="F24" s="81"/>
      <c r="G24" s="81"/>
    </row>
    <row r="25" spans="1:7" s="13" customFormat="1" ht="18" customHeight="1" x14ac:dyDescent="0.3">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E20"/>
  <sheetViews>
    <sheetView tabSelected="1" view="pageBreakPreview" zoomScaleNormal="100" zoomScaleSheetLayoutView="100" workbookViewId="0">
      <selection activeCell="H10" sqref="H10"/>
    </sheetView>
  </sheetViews>
  <sheetFormatPr defaultRowHeight="15" x14ac:dyDescent="0.25"/>
  <cols>
    <col min="1" max="1" width="8" customWidth="1"/>
    <col min="2" max="2" width="15.85546875" style="16" customWidth="1"/>
    <col min="3" max="3" width="8.85546875" customWidth="1"/>
    <col min="4" max="4" width="4.85546875" customWidth="1"/>
    <col min="5" max="5" width="62.42578125" customWidth="1"/>
  </cols>
  <sheetData>
    <row r="1" spans="1:5" ht="16.5" customHeight="1" x14ac:dyDescent="0.25">
      <c r="A1" s="127" t="s">
        <v>26</v>
      </c>
      <c r="B1" s="114"/>
      <c r="C1" s="115"/>
      <c r="D1" s="115"/>
      <c r="E1" s="115"/>
    </row>
    <row r="2" spans="1:5" ht="35.1" customHeight="1" x14ac:dyDescent="0.25">
      <c r="A2" s="1">
        <v>1</v>
      </c>
      <c r="B2" s="116" t="s">
        <v>27</v>
      </c>
      <c r="C2" s="117"/>
      <c r="D2" s="118"/>
      <c r="E2" s="3"/>
    </row>
    <row r="3" spans="1:5" s="16" customFormat="1" ht="15" customHeight="1" x14ac:dyDescent="0.25">
      <c r="A3" s="55" t="s">
        <v>28</v>
      </c>
      <c r="B3" s="119" t="s">
        <v>29</v>
      </c>
      <c r="C3" s="117"/>
      <c r="D3" s="118"/>
      <c r="E3" s="30" t="str">
        <f>'Compare-3'!C3</f>
        <v xml:space="preserve">Electric cabling and maintenance work in Sahelion ki Bari , Udaipur  </v>
      </c>
    </row>
    <row r="4" spans="1:5" ht="15" customHeight="1" x14ac:dyDescent="0.25">
      <c r="A4" s="4"/>
      <c r="B4" s="128" t="s">
        <v>30</v>
      </c>
      <c r="C4" s="117"/>
      <c r="D4" s="118"/>
      <c r="E4" s="21"/>
    </row>
    <row r="5" spans="1:5" ht="15" customHeight="1" x14ac:dyDescent="0.25">
      <c r="A5" s="1">
        <v>3</v>
      </c>
      <c r="B5" s="119" t="s">
        <v>31</v>
      </c>
      <c r="C5" s="117"/>
      <c r="D5" s="118"/>
      <c r="E5" s="3"/>
    </row>
    <row r="6" spans="1:5" ht="15" customHeight="1" x14ac:dyDescent="0.25">
      <c r="A6" s="1"/>
      <c r="B6" s="129" t="s">
        <v>32</v>
      </c>
      <c r="C6" s="117"/>
      <c r="D6" s="118"/>
      <c r="E6" s="3">
        <f>'Compare-3'!C5</f>
        <v>641694</v>
      </c>
    </row>
    <row r="7" spans="1:5" ht="50.45" customHeight="1" x14ac:dyDescent="0.25">
      <c r="A7" s="1">
        <v>4</v>
      </c>
      <c r="B7" s="119" t="s">
        <v>33</v>
      </c>
      <c r="C7" s="117"/>
      <c r="D7" s="118"/>
      <c r="E7" s="3"/>
    </row>
    <row r="8" spans="1:5" ht="35.1" customHeight="1" x14ac:dyDescent="0.25">
      <c r="A8" s="1">
        <v>5</v>
      </c>
      <c r="B8" s="116" t="s">
        <v>15</v>
      </c>
      <c r="C8" s="117"/>
      <c r="D8" s="118"/>
      <c r="E8" s="20">
        <f>'Compare-3'!F4</f>
        <v>45728</v>
      </c>
    </row>
    <row r="9" spans="1:5" ht="34.9" customHeight="1" x14ac:dyDescent="0.25">
      <c r="A9" s="1">
        <v>6</v>
      </c>
      <c r="B9" s="116" t="s">
        <v>34</v>
      </c>
      <c r="C9" s="117"/>
      <c r="D9" s="118"/>
      <c r="E9" s="20">
        <v>45733</v>
      </c>
    </row>
    <row r="10" spans="1:5" ht="34.9" customHeight="1" x14ac:dyDescent="0.25">
      <c r="A10" s="1">
        <v>9</v>
      </c>
      <c r="B10" s="119" t="s">
        <v>37</v>
      </c>
      <c r="C10" s="117"/>
      <c r="D10" s="118"/>
      <c r="E10" s="2" t="s">
        <v>38</v>
      </c>
    </row>
    <row r="11" spans="1:5" ht="35.1" customHeight="1" x14ac:dyDescent="0.25">
      <c r="A11" s="1">
        <v>10</v>
      </c>
      <c r="B11" s="116" t="s">
        <v>39</v>
      </c>
      <c r="C11" s="117"/>
      <c r="D11" s="118"/>
      <c r="E11" s="37" t="s">
        <v>9</v>
      </c>
    </row>
    <row r="12" spans="1:5" ht="40.5" customHeight="1" x14ac:dyDescent="0.25">
      <c r="A12" s="55" t="s">
        <v>40</v>
      </c>
      <c r="B12" s="120" t="s">
        <v>41</v>
      </c>
      <c r="C12" s="121"/>
      <c r="D12" s="121"/>
      <c r="E12" s="38" t="str">
        <f>Lowest_bidder_item3</f>
        <v>M/s. Vikas Enterprises, Udaipur</v>
      </c>
    </row>
    <row r="13" spans="1:5" ht="44.25" customHeight="1" x14ac:dyDescent="0.25">
      <c r="A13" s="55" t="s">
        <v>42</v>
      </c>
      <c r="B13" s="119" t="s">
        <v>43</v>
      </c>
      <c r="C13" s="117"/>
      <c r="D13" s="118"/>
      <c r="E13" s="33" t="s">
        <v>44</v>
      </c>
    </row>
    <row r="14" spans="1:5" ht="35.1" customHeight="1" x14ac:dyDescent="0.25">
      <c r="A14" s="1">
        <v>13</v>
      </c>
      <c r="B14" s="116" t="s">
        <v>45</v>
      </c>
      <c r="C14" s="117"/>
      <c r="D14" s="118"/>
      <c r="E14" s="15" t="str">
        <f>[0]!Lowest_bidder_item3</f>
        <v>M/s. Vikas Enterprises, Udaipur</v>
      </c>
    </row>
    <row r="15" spans="1:5" ht="52.15" customHeight="1" x14ac:dyDescent="0.25">
      <c r="A15" s="56" t="s">
        <v>46</v>
      </c>
      <c r="B15" s="125" t="s">
        <v>47</v>
      </c>
      <c r="C15" s="121"/>
      <c r="D15" s="126"/>
      <c r="E15" s="2" t="s">
        <v>48</v>
      </c>
    </row>
    <row r="16" spans="1:5" x14ac:dyDescent="0.25">
      <c r="A16" s="35">
        <v>15</v>
      </c>
      <c r="B16" s="122" t="s">
        <v>49</v>
      </c>
      <c r="C16" s="123"/>
      <c r="D16" s="124"/>
      <c r="E16" s="31" t="s">
        <v>50</v>
      </c>
    </row>
    <row r="17" spans="1:5" x14ac:dyDescent="0.25">
      <c r="A17" s="36"/>
      <c r="B17" s="107" t="s">
        <v>51</v>
      </c>
      <c r="C17" s="108"/>
      <c r="D17" s="109"/>
      <c r="E17" s="32">
        <f>E9+20</f>
        <v>45753</v>
      </c>
    </row>
    <row r="18" spans="1:5" x14ac:dyDescent="0.25">
      <c r="A18" s="34">
        <v>16</v>
      </c>
      <c r="B18" s="110" t="s">
        <v>52</v>
      </c>
      <c r="C18" s="111"/>
      <c r="D18" s="112"/>
      <c r="E18" s="2" t="s">
        <v>53</v>
      </c>
    </row>
    <row r="19" spans="1:5" ht="35.1" customHeight="1" x14ac:dyDescent="0.25">
      <c r="A19" s="17"/>
      <c r="B19" s="18"/>
      <c r="C19" s="18"/>
      <c r="D19" s="18"/>
      <c r="E19" s="18"/>
    </row>
    <row r="20" spans="1:5" ht="15" customHeight="1" x14ac:dyDescent="0.25">
      <c r="A20" s="113" t="s">
        <v>95</v>
      </c>
      <c r="B20" s="114"/>
      <c r="C20" s="115"/>
      <c r="D20" s="115"/>
      <c r="E20" s="115"/>
    </row>
  </sheetData>
  <mergeCells count="19">
    <mergeCell ref="B10:D10"/>
    <mergeCell ref="A1:E1"/>
    <mergeCell ref="B2:D2"/>
    <mergeCell ref="B3:D3"/>
    <mergeCell ref="B4:D4"/>
    <mergeCell ref="B5:D5"/>
    <mergeCell ref="B6:D6"/>
    <mergeCell ref="B7:D7"/>
    <mergeCell ref="B8:D8"/>
    <mergeCell ref="B9:D9"/>
    <mergeCell ref="B17:D17"/>
    <mergeCell ref="B18:D18"/>
    <mergeCell ref="A20:E20"/>
    <mergeCell ref="B11:D11"/>
    <mergeCell ref="B12:D12"/>
    <mergeCell ref="B13:D13"/>
    <mergeCell ref="B14:D14"/>
    <mergeCell ref="B15:D15"/>
    <mergeCell ref="B16:D16"/>
  </mergeCells>
  <pageMargins left="0.70866141732283472" right="0.70866141732283472" top="0.74803149606299213" bottom="0.74803149606299213" header="0.31496062992125984" footer="0.31496062992125984"/>
  <pageSetup paperSize="9" scale="87"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I41"/>
  <sheetViews>
    <sheetView view="pageBreakPreview" topLeftCell="A7" zoomScaleNormal="100" zoomScaleSheetLayoutView="100" workbookViewId="0">
      <selection activeCell="A16" sqref="A16:I16"/>
    </sheetView>
  </sheetViews>
  <sheetFormatPr defaultColWidth="8.85546875" defaultRowHeight="15" x14ac:dyDescent="0.25"/>
  <cols>
    <col min="1" max="2" width="8.85546875" style="40" customWidth="1"/>
    <col min="3" max="5" width="10.28515625" style="40" bestFit="1" customWidth="1"/>
    <col min="6" max="6" width="8.85546875" style="40" customWidth="1"/>
    <col min="7" max="16384" width="8.85546875" style="40"/>
  </cols>
  <sheetData>
    <row r="1" spans="1:9" x14ac:dyDescent="0.25">
      <c r="A1" s="132" t="s">
        <v>54</v>
      </c>
      <c r="B1" s="131"/>
      <c r="C1" s="131"/>
      <c r="D1" s="131"/>
      <c r="E1" s="131"/>
      <c r="F1" s="131"/>
      <c r="G1" s="131"/>
      <c r="H1" s="131"/>
      <c r="I1" s="131"/>
    </row>
    <row r="2" spans="1:9" x14ac:dyDescent="0.25">
      <c r="A2" s="39"/>
      <c r="B2" s="39"/>
      <c r="C2" s="39"/>
      <c r="D2" s="39"/>
      <c r="E2" s="39"/>
      <c r="F2" s="39"/>
      <c r="G2" s="39"/>
      <c r="H2" s="41" t="s">
        <v>55</v>
      </c>
      <c r="I2" s="39"/>
    </row>
    <row r="3" spans="1:9" x14ac:dyDescent="0.25">
      <c r="A3" s="42" t="s">
        <v>56</v>
      </c>
      <c r="B3" s="39"/>
      <c r="C3" s="39"/>
      <c r="D3" s="39"/>
      <c r="E3" s="39"/>
      <c r="F3" s="39"/>
      <c r="G3" s="42" t="s">
        <v>57</v>
      </c>
      <c r="H3" s="42"/>
      <c r="I3" s="39"/>
    </row>
    <row r="4" spans="1:9" x14ac:dyDescent="0.25">
      <c r="A4" s="133" t="s">
        <v>94</v>
      </c>
      <c r="B4" s="131"/>
      <c r="C4" s="131"/>
      <c r="D4" s="131"/>
      <c r="E4" s="131"/>
      <c r="F4" s="131"/>
      <c r="G4" s="131"/>
      <c r="H4" s="131"/>
      <c r="I4" s="131"/>
    </row>
    <row r="5" spans="1:9" x14ac:dyDescent="0.25">
      <c r="A5" s="53" t="s">
        <v>93</v>
      </c>
    </row>
    <row r="6" spans="1:9" x14ac:dyDescent="0.25">
      <c r="A6" s="43" t="str">
        <f>[0]!Lowest_bidder_item3</f>
        <v>M/s. Vikas Enterprises, Udaipur</v>
      </c>
    </row>
    <row r="7" spans="1:9" x14ac:dyDescent="0.25">
      <c r="A7" s="43"/>
    </row>
    <row r="9" spans="1:9" ht="31.15" customHeight="1" x14ac:dyDescent="0.25">
      <c r="A9" s="44" t="s">
        <v>58</v>
      </c>
      <c r="B9" s="44"/>
      <c r="C9" s="134" t="str">
        <f>'Compare-3'!C3</f>
        <v xml:space="preserve">Electric cabling and maintenance work in Sahelion ki Bari , Udaipur  </v>
      </c>
      <c r="D9" s="131"/>
      <c r="E9" s="131"/>
      <c r="F9" s="131"/>
      <c r="G9" s="131"/>
      <c r="H9" s="131"/>
      <c r="I9" s="131"/>
    </row>
    <row r="10" spans="1:9" x14ac:dyDescent="0.25">
      <c r="A10" s="40" t="s">
        <v>59</v>
      </c>
      <c r="C10" s="40" t="str">
        <f>'Compare-3'!B4</f>
        <v>27/2024-25</v>
      </c>
      <c r="E10" s="40" t="str">
        <f>'Compare-3'!G4</f>
        <v>ITEM-3</v>
      </c>
    </row>
    <row r="11" spans="1:9" x14ac:dyDescent="0.25">
      <c r="A11" s="40" t="s">
        <v>60</v>
      </c>
      <c r="C11" s="45">
        <f>'Compare-3'!F4</f>
        <v>45728</v>
      </c>
    </row>
    <row r="12" spans="1:9" x14ac:dyDescent="0.25">
      <c r="A12" s="40" t="s">
        <v>61</v>
      </c>
      <c r="D12" s="45">
        <f>'Compare-3'!G10</f>
        <v>0</v>
      </c>
    </row>
    <row r="13" spans="1:9" x14ac:dyDescent="0.25">
      <c r="A13" s="40" t="s">
        <v>62</v>
      </c>
      <c r="E13" s="45">
        <f>D12</f>
        <v>0</v>
      </c>
    </row>
    <row r="14" spans="1:9" x14ac:dyDescent="0.25">
      <c r="A14" s="40" t="s">
        <v>63</v>
      </c>
    </row>
    <row r="15" spans="1:9" ht="64.900000000000006" customHeight="1" x14ac:dyDescent="0.25">
      <c r="A15" s="135" t="e">
        <f ca="1">_xlfn.CONCAT("       Your tender for the above work has been accepted on behalf of the Governor of Rajasthan @  ",ROUND([0]!percentile_item3,2), "%  ",[0]!Above_Below_item3," amounting to Rs.  ",ROUND([0]!Bid_Amount_item3,0),"/-- In words Rupees. ",NumToWords([0]!Bid_Amount_item3),".")</f>
        <v>#NAME?</v>
      </c>
      <c r="B15" s="131"/>
      <c r="C15" s="131"/>
      <c r="D15" s="131"/>
      <c r="E15" s="131"/>
      <c r="F15" s="131"/>
      <c r="G15" s="131"/>
      <c r="H15" s="131"/>
      <c r="I15" s="131"/>
    </row>
    <row r="16" spans="1:9" ht="66" customHeight="1" x14ac:dyDescent="0.25">
      <c r="A16" s="135" t="s">
        <v>64</v>
      </c>
      <c r="B16" s="131"/>
      <c r="C16" s="131"/>
      <c r="D16" s="131"/>
      <c r="E16" s="131"/>
      <c r="F16" s="131"/>
      <c r="G16" s="131"/>
      <c r="H16" s="131"/>
      <c r="I16" s="131"/>
    </row>
    <row r="18" spans="1:9" x14ac:dyDescent="0.25">
      <c r="A18" s="40" t="s">
        <v>65</v>
      </c>
    </row>
    <row r="19" spans="1:9" x14ac:dyDescent="0.25">
      <c r="A19" s="40" t="s">
        <v>66</v>
      </c>
      <c r="F19" s="130">
        <v>45741</v>
      </c>
      <c r="G19" s="131"/>
    </row>
    <row r="20" spans="1:9" x14ac:dyDescent="0.25">
      <c r="A20" s="40" t="s">
        <v>67</v>
      </c>
      <c r="F20" s="130">
        <v>46015.23</v>
      </c>
      <c r="G20" s="131"/>
    </row>
    <row r="21" spans="1:9" x14ac:dyDescent="0.25">
      <c r="A21" s="40" t="s">
        <v>68</v>
      </c>
    </row>
    <row r="22" spans="1:9" x14ac:dyDescent="0.25">
      <c r="A22" s="40" t="s">
        <v>69</v>
      </c>
    </row>
    <row r="23" spans="1:9" x14ac:dyDescent="0.25">
      <c r="A23" s="40" t="s">
        <v>70</v>
      </c>
    </row>
    <row r="25" spans="1:9" x14ac:dyDescent="0.25">
      <c r="A25" s="40" t="s">
        <v>71</v>
      </c>
    </row>
    <row r="27" spans="1:9" x14ac:dyDescent="0.25">
      <c r="A27" s="40" t="s">
        <v>72</v>
      </c>
    </row>
    <row r="28" spans="1:9" x14ac:dyDescent="0.25">
      <c r="A28" s="40" t="s">
        <v>73</v>
      </c>
    </row>
    <row r="29" spans="1:9" x14ac:dyDescent="0.25">
      <c r="A29" s="42" t="s">
        <v>56</v>
      </c>
      <c r="B29" s="39"/>
      <c r="C29" s="39"/>
      <c r="D29" s="39"/>
      <c r="E29" s="39"/>
      <c r="F29" s="39"/>
      <c r="G29" s="42" t="s">
        <v>57</v>
      </c>
      <c r="H29" s="42"/>
      <c r="I29" s="39"/>
    </row>
    <row r="30" spans="1:9" x14ac:dyDescent="0.25">
      <c r="A30" s="40" t="s">
        <v>74</v>
      </c>
    </row>
    <row r="31" spans="1:9" x14ac:dyDescent="0.25">
      <c r="A31" s="40" t="s">
        <v>75</v>
      </c>
    </row>
    <row r="32" spans="1:9" x14ac:dyDescent="0.25">
      <c r="A32" s="40" t="s">
        <v>76</v>
      </c>
    </row>
    <row r="33" spans="1:1" x14ac:dyDescent="0.25">
      <c r="A33" s="40" t="s">
        <v>77</v>
      </c>
    </row>
    <row r="34" spans="1:1" x14ac:dyDescent="0.25">
      <c r="A34" s="40" t="s">
        <v>78</v>
      </c>
    </row>
    <row r="35" spans="1:1" x14ac:dyDescent="0.25">
      <c r="A35" s="40" t="s">
        <v>79</v>
      </c>
    </row>
    <row r="36" spans="1:1" x14ac:dyDescent="0.25">
      <c r="A36" s="40" t="s">
        <v>80</v>
      </c>
    </row>
    <row r="37" spans="1:1" x14ac:dyDescent="0.25">
      <c r="A37" s="40" t="s">
        <v>81</v>
      </c>
    </row>
    <row r="38" spans="1:1" x14ac:dyDescent="0.25">
      <c r="A38" s="40" t="s">
        <v>82</v>
      </c>
    </row>
    <row r="40" spans="1:1" x14ac:dyDescent="0.25">
      <c r="A40" s="40" t="s">
        <v>83</v>
      </c>
    </row>
    <row r="41" spans="1:1" x14ac:dyDescent="0.25">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I28"/>
  <sheetViews>
    <sheetView view="pageBreakPreview" zoomScaleNormal="100" zoomScaleSheetLayoutView="100" workbookViewId="0">
      <selection activeCell="D16" sqref="D16"/>
    </sheetView>
  </sheetViews>
  <sheetFormatPr defaultColWidth="8.85546875" defaultRowHeight="15" x14ac:dyDescent="0.25"/>
  <cols>
    <col min="1" max="2" width="8.85546875" style="40" customWidth="1"/>
    <col min="3" max="5" width="11.28515625" style="40" bestFit="1" customWidth="1"/>
    <col min="6" max="6" width="8.85546875" style="40" customWidth="1"/>
    <col min="7" max="16384" width="8.85546875" style="40"/>
  </cols>
  <sheetData>
    <row r="1" spans="1:9" ht="15.75" x14ac:dyDescent="0.25">
      <c r="A1" s="138" t="s">
        <v>54</v>
      </c>
      <c r="B1" s="137"/>
      <c r="C1" s="137"/>
      <c r="D1" s="137"/>
      <c r="E1" s="137"/>
      <c r="F1" s="137"/>
      <c r="G1" s="137"/>
      <c r="H1" s="137"/>
      <c r="I1" s="137"/>
    </row>
    <row r="2" spans="1:9" x14ac:dyDescent="0.25">
      <c r="A2" s="42" t="s">
        <v>56</v>
      </c>
      <c r="B2" s="39"/>
      <c r="C2" s="39"/>
      <c r="D2" s="39"/>
      <c r="E2" s="39"/>
      <c r="F2" s="39"/>
      <c r="G2" s="42" t="s">
        <v>57</v>
      </c>
      <c r="H2" s="42"/>
      <c r="I2" s="39"/>
    </row>
    <row r="3" spans="1:9" ht="18.75" x14ac:dyDescent="0.3">
      <c r="A3" s="139" t="s">
        <v>85</v>
      </c>
      <c r="B3" s="140"/>
      <c r="C3" s="140"/>
      <c r="D3" s="140"/>
      <c r="E3" s="140"/>
      <c r="F3" s="140"/>
      <c r="G3" s="140"/>
      <c r="H3" s="140"/>
      <c r="I3" s="140"/>
    </row>
    <row r="4" spans="1:9" x14ac:dyDescent="0.25">
      <c r="A4" s="53" t="s">
        <v>93</v>
      </c>
    </row>
    <row r="5" spans="1:9" x14ac:dyDescent="0.25">
      <c r="A5" s="43" t="str">
        <f>[0]!Lowest_bidder_item3</f>
        <v>M/s. Vikas Enterprises, Udaipur</v>
      </c>
    </row>
    <row r="6" spans="1:9" x14ac:dyDescent="0.25">
      <c r="A6" s="43"/>
    </row>
    <row r="8" spans="1:9" s="47" customFormat="1" ht="31.15" customHeight="1" x14ac:dyDescent="0.25">
      <c r="A8" s="51" t="s">
        <v>89</v>
      </c>
      <c r="B8" s="46"/>
      <c r="C8" s="141" t="s">
        <v>3</v>
      </c>
      <c r="D8" s="137"/>
      <c r="E8" s="137"/>
      <c r="F8" s="137"/>
      <c r="G8" s="137"/>
      <c r="H8" s="137"/>
      <c r="I8" s="137"/>
    </row>
    <row r="9" spans="1:9" s="47" customFormat="1" ht="15.6" customHeight="1" x14ac:dyDescent="0.25">
      <c r="A9" s="47" t="s">
        <v>59</v>
      </c>
      <c r="C9" s="47" t="str">
        <f>'Compare-3'!B4</f>
        <v>27/2024-25</v>
      </c>
      <c r="E9" s="52" t="str">
        <f>'Compare-3'!G4</f>
        <v>ITEM-3</v>
      </c>
    </row>
    <row r="10" spans="1:9" s="47" customFormat="1" ht="15.6" customHeight="1" x14ac:dyDescent="0.25">
      <c r="A10" s="47" t="s">
        <v>60</v>
      </c>
      <c r="C10" s="48">
        <f>'Compare-3'!F4</f>
        <v>45728</v>
      </c>
    </row>
    <row r="11" spans="1:9" s="47" customFormat="1" ht="15.6" customHeight="1" x14ac:dyDescent="0.25">
      <c r="A11" s="47" t="s">
        <v>61</v>
      </c>
      <c r="D11" s="48">
        <f>'Compare-3'!G10</f>
        <v>0</v>
      </c>
    </row>
    <row r="12" spans="1:9" s="47" customFormat="1" ht="15.6" customHeight="1" x14ac:dyDescent="0.25">
      <c r="A12" s="47" t="s">
        <v>62</v>
      </c>
      <c r="E12" s="48">
        <f>D11</f>
        <v>0</v>
      </c>
    </row>
    <row r="13" spans="1:9" s="47" customFormat="1" ht="15.6" customHeight="1" x14ac:dyDescent="0.25">
      <c r="A13" s="47" t="s">
        <v>63</v>
      </c>
    </row>
    <row r="14" spans="1:9" s="47" customFormat="1" ht="74.45" customHeight="1" x14ac:dyDescent="0.25">
      <c r="A14" s="136" t="e">
        <f ca="1">_xlfn.CONCAT("       Your tender for the above work has been accepted on behalf of the Governor of Rajasthan @  ",ROUND([0]!percentile_item3,2), "%  ",[0]!Above_Below_item3," amounting to Rs.  ",ROUND([0]!Bid_Amount_item3,0),"/-- In words Rupees. ",NumToWords([0]!Bid_Amount_item3),"by the undersingned Executive Engineer PWD Electric Divistion Udaipur.")</f>
        <v>#NAME?</v>
      </c>
      <c r="B14" s="137"/>
      <c r="C14" s="137"/>
      <c r="D14" s="137"/>
      <c r="E14" s="137"/>
      <c r="F14" s="137"/>
      <c r="G14" s="137"/>
      <c r="H14" s="137"/>
      <c r="I14" s="137"/>
    </row>
    <row r="15" spans="1:9" s="47" customFormat="1" ht="109.9" customHeight="1" x14ac:dyDescent="0.25">
      <c r="A15" s="136" t="s">
        <v>86</v>
      </c>
      <c r="B15" s="137"/>
      <c r="C15" s="137"/>
      <c r="D15" s="137"/>
      <c r="E15" s="137"/>
      <c r="F15" s="137"/>
      <c r="G15" s="137"/>
      <c r="H15" s="137"/>
      <c r="I15" s="137"/>
    </row>
    <row r="16" spans="1:9" s="47" customFormat="1" ht="15.6" customHeight="1" x14ac:dyDescent="0.25">
      <c r="A16" s="47" t="s">
        <v>87</v>
      </c>
    </row>
    <row r="17" spans="1:9" s="47" customFormat="1" ht="15.6" customHeight="1" x14ac:dyDescent="0.25"/>
    <row r="18" spans="1:9" s="47" customFormat="1" ht="15.6" customHeight="1" x14ac:dyDescent="0.25">
      <c r="A18" s="47" t="s">
        <v>71</v>
      </c>
    </row>
    <row r="19" spans="1:9" s="47" customFormat="1" ht="15.6" customHeight="1" x14ac:dyDescent="0.25"/>
    <row r="20" spans="1:9" s="47" customFormat="1" ht="15.6" customHeight="1" x14ac:dyDescent="0.25">
      <c r="A20" s="47" t="s">
        <v>72</v>
      </c>
    </row>
    <row r="21" spans="1:9" s="47" customFormat="1" ht="15.6" customHeight="1" x14ac:dyDescent="0.25">
      <c r="A21" s="47" t="s">
        <v>73</v>
      </c>
    </row>
    <row r="22" spans="1:9" s="47" customFormat="1" ht="15.6" customHeight="1" x14ac:dyDescent="0.25">
      <c r="A22" s="49" t="s">
        <v>56</v>
      </c>
      <c r="B22" s="49"/>
      <c r="C22" s="49"/>
      <c r="D22" s="49"/>
      <c r="E22" s="49"/>
      <c r="F22" s="49"/>
      <c r="G22" s="49" t="s">
        <v>57</v>
      </c>
      <c r="H22" s="49"/>
      <c r="I22" s="49"/>
    </row>
    <row r="23" spans="1:9" s="47" customFormat="1" ht="15.6" customHeight="1" x14ac:dyDescent="0.25">
      <c r="A23" s="47" t="s">
        <v>74</v>
      </c>
    </row>
    <row r="24" spans="1:9" s="47" customFormat="1" ht="15.6" customHeight="1" x14ac:dyDescent="0.25">
      <c r="A24" s="47" t="s">
        <v>88</v>
      </c>
    </row>
    <row r="25" spans="1:9" s="47" customFormat="1" ht="15.6" customHeight="1" x14ac:dyDescent="0.25">
      <c r="A25" s="47" t="s">
        <v>90</v>
      </c>
    </row>
    <row r="26" spans="1:9" s="47" customFormat="1" ht="15.6" customHeight="1" x14ac:dyDescent="0.25"/>
    <row r="27" spans="1:9" x14ac:dyDescent="0.25">
      <c r="A27" s="40" t="s">
        <v>83</v>
      </c>
    </row>
    <row r="28" spans="1:9" x14ac:dyDescent="0.25">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25"/>
  <sheetViews>
    <sheetView view="pageBreakPreview" zoomScaleNormal="100" zoomScaleSheetLayoutView="100" workbookViewId="0">
      <selection activeCell="H18" sqref="H18"/>
    </sheetView>
  </sheetViews>
  <sheetFormatPr defaultColWidth="9.140625" defaultRowHeight="15" x14ac:dyDescent="0.25"/>
  <cols>
    <col min="1" max="1" width="9.140625" style="6" customWidth="1"/>
    <col min="2" max="2" width="49.28515625" style="6" customWidth="1"/>
    <col min="3" max="3" width="12.7109375" style="6" customWidth="1"/>
    <col min="4" max="4" width="9" style="6" customWidth="1"/>
    <col min="5" max="5" width="6.7109375" style="22" customWidth="1"/>
    <col min="6" max="6" width="26" style="6" customWidth="1"/>
    <col min="7" max="7" width="14.28515625" style="6" customWidth="1"/>
    <col min="8" max="16384" width="9.140625" style="6"/>
  </cols>
  <sheetData>
    <row r="1" spans="1:7" x14ac:dyDescent="0.25">
      <c r="A1" s="102" t="s">
        <v>0</v>
      </c>
      <c r="B1" s="103"/>
      <c r="C1" s="103"/>
      <c r="D1" s="103"/>
      <c r="E1" s="103"/>
      <c r="F1" s="103"/>
      <c r="G1" s="103"/>
    </row>
    <row r="2" spans="1:7" ht="15.6" customHeight="1" x14ac:dyDescent="0.25">
      <c r="A2" s="104" t="s">
        <v>1</v>
      </c>
      <c r="B2" s="103"/>
      <c r="C2" s="103"/>
      <c r="D2" s="103"/>
      <c r="E2" s="103"/>
      <c r="F2" s="103"/>
      <c r="G2" s="103"/>
    </row>
    <row r="3" spans="1:7" ht="31.15" customHeight="1" x14ac:dyDescent="0.25">
      <c r="A3" s="7" t="s">
        <v>2</v>
      </c>
      <c r="C3" s="106" t="s">
        <v>3</v>
      </c>
      <c r="D3" s="106"/>
      <c r="E3" s="106"/>
      <c r="F3" s="106"/>
      <c r="G3" s="106"/>
    </row>
    <row r="4" spans="1:7" x14ac:dyDescent="0.25">
      <c r="A4" s="58" t="s">
        <v>4</v>
      </c>
      <c r="B4" s="77" t="str">
        <f>'Compare-1'!B4</f>
        <v>27/2024-25</v>
      </c>
      <c r="C4" s="142" t="s">
        <v>5</v>
      </c>
      <c r="D4" s="143"/>
      <c r="E4" s="143"/>
      <c r="F4" s="78">
        <f>'Compare-1'!F4</f>
        <v>45728</v>
      </c>
      <c r="G4" s="75" t="s">
        <v>110</v>
      </c>
    </row>
    <row r="5" spans="1:7" s="9" customFormat="1" x14ac:dyDescent="0.2">
      <c r="A5" s="62" t="s">
        <v>92</v>
      </c>
      <c r="B5" s="62"/>
      <c r="C5" s="144">
        <f>C12</f>
        <v>641694</v>
      </c>
      <c r="D5" s="143"/>
      <c r="E5" s="63"/>
      <c r="F5" s="64" t="s">
        <v>98</v>
      </c>
      <c r="G5" s="65">
        <v>13000</v>
      </c>
    </row>
    <row r="6" spans="1:7" s="9" customFormat="1" x14ac:dyDescent="0.2">
      <c r="A6" s="62" t="s">
        <v>7</v>
      </c>
      <c r="B6" s="62"/>
      <c r="C6" s="85">
        <f>ROUNDUP(F17,0)</f>
        <v>635278</v>
      </c>
      <c r="D6" s="86"/>
      <c r="E6" s="66"/>
      <c r="F6" s="64" t="s">
        <v>91</v>
      </c>
      <c r="G6" s="67">
        <v>9</v>
      </c>
    </row>
    <row r="7" spans="1:7" s="9" customFormat="1" x14ac:dyDescent="0.2">
      <c r="A7" s="87" t="s">
        <v>8</v>
      </c>
      <c r="B7" s="84"/>
      <c r="C7" s="87" t="s">
        <v>9</v>
      </c>
      <c r="D7" s="84"/>
      <c r="E7" s="57"/>
      <c r="F7" s="68" t="s">
        <v>10</v>
      </c>
      <c r="G7" s="69">
        <v>4</v>
      </c>
    </row>
    <row r="8" spans="1:7" s="9" customFormat="1" x14ac:dyDescent="0.2">
      <c r="A8" s="87" t="s">
        <v>11</v>
      </c>
      <c r="B8" s="84"/>
      <c r="C8" s="57" t="s">
        <v>12</v>
      </c>
      <c r="D8" s="70"/>
      <c r="E8" s="57"/>
      <c r="F8" s="68" t="s">
        <v>13</v>
      </c>
      <c r="G8" s="64">
        <v>4</v>
      </c>
    </row>
    <row r="9" spans="1:7" s="9" customFormat="1" x14ac:dyDescent="0.2">
      <c r="A9" s="87" t="s">
        <v>14</v>
      </c>
      <c r="B9" s="84"/>
      <c r="C9" s="88">
        <f>C6</f>
        <v>635278</v>
      </c>
      <c r="D9" s="86"/>
      <c r="E9" s="71"/>
      <c r="F9" s="68" t="s">
        <v>15</v>
      </c>
      <c r="G9" s="76">
        <f>F4</f>
        <v>45728</v>
      </c>
    </row>
    <row r="10" spans="1:7" s="9" customFormat="1" x14ac:dyDescent="0.2">
      <c r="A10" s="87" t="s">
        <v>16</v>
      </c>
      <c r="B10" s="84"/>
      <c r="C10" s="87" t="s">
        <v>17</v>
      </c>
      <c r="D10" s="84"/>
      <c r="E10" s="84"/>
      <c r="F10" s="68" t="s">
        <v>18</v>
      </c>
      <c r="G10" s="76">
        <f>'Compare-1'!G8</f>
        <v>45740</v>
      </c>
    </row>
    <row r="11" spans="1:7" ht="27.75" customHeight="1" x14ac:dyDescent="0.25">
      <c r="A11" s="10" t="s">
        <v>19</v>
      </c>
      <c r="B11" s="11" t="s">
        <v>20</v>
      </c>
      <c r="C11" s="11" t="s">
        <v>96</v>
      </c>
      <c r="D11" s="89" t="s">
        <v>21</v>
      </c>
      <c r="E11" s="90"/>
      <c r="F11" s="101" t="s">
        <v>97</v>
      </c>
      <c r="G11" s="98"/>
    </row>
    <row r="12" spans="1:7" ht="22.9" customHeight="1" x14ac:dyDescent="0.25">
      <c r="A12" s="19">
        <v>1</v>
      </c>
      <c r="B12" s="12" t="s">
        <v>100</v>
      </c>
      <c r="C12" s="19">
        <v>641694</v>
      </c>
      <c r="D12" s="23">
        <v>0</v>
      </c>
      <c r="E12" s="29" t="s">
        <v>22</v>
      </c>
      <c r="F12" s="97">
        <f>IF(E12="below",ROUNDUP(C12*(1-D12/100),0),ROUNDUP(C12*(1+D12/100),0))</f>
        <v>641694</v>
      </c>
      <c r="G12" s="98"/>
    </row>
    <row r="13" spans="1:7" ht="18.600000000000001" customHeight="1" x14ac:dyDescent="0.25">
      <c r="A13" s="19">
        <v>2</v>
      </c>
      <c r="B13" s="12" t="s">
        <v>101</v>
      </c>
      <c r="C13" s="54">
        <f>$C$12</f>
        <v>641694</v>
      </c>
      <c r="D13" s="23">
        <v>1</v>
      </c>
      <c r="E13" s="29" t="s">
        <v>22</v>
      </c>
      <c r="F13" s="97">
        <f t="shared" ref="F13:F15" si="0">IF(E13="below",ROUNDUP(C13*(1-D13/100),0),ROUNDUP(C13*(1+D13/100),0))</f>
        <v>635278</v>
      </c>
      <c r="G13" s="98"/>
    </row>
    <row r="14" spans="1:7" ht="18.600000000000001" customHeight="1" x14ac:dyDescent="0.25">
      <c r="A14" s="19">
        <v>3</v>
      </c>
      <c r="B14" s="12" t="s">
        <v>102</v>
      </c>
      <c r="C14" s="54">
        <f>$C$12</f>
        <v>641694</v>
      </c>
      <c r="D14" s="23">
        <v>1</v>
      </c>
      <c r="E14" s="29" t="s">
        <v>22</v>
      </c>
      <c r="F14" s="97">
        <f t="shared" si="0"/>
        <v>635278</v>
      </c>
      <c r="G14" s="98"/>
    </row>
    <row r="15" spans="1:7" ht="21" customHeight="1" x14ac:dyDescent="0.25">
      <c r="A15" s="19">
        <v>4</v>
      </c>
      <c r="B15" s="12" t="s">
        <v>103</v>
      </c>
      <c r="C15" s="54">
        <f t="shared" ref="C15" si="1">$C$12</f>
        <v>641694</v>
      </c>
      <c r="D15" s="23">
        <v>0.1</v>
      </c>
      <c r="E15" s="29" t="s">
        <v>22</v>
      </c>
      <c r="F15" s="97">
        <f t="shared" si="0"/>
        <v>641053</v>
      </c>
      <c r="G15" s="98"/>
    </row>
    <row r="16" spans="1:7" ht="4.1500000000000004" customHeight="1" x14ac:dyDescent="0.25">
      <c r="D16" s="22"/>
      <c r="E16" s="6"/>
    </row>
    <row r="17" spans="1:7" ht="15" customHeight="1" thickBot="1" x14ac:dyDescent="0.3">
      <c r="A17" s="25" t="s">
        <v>23</v>
      </c>
      <c r="B17" s="26" t="str">
        <f>INDEX(B12:B15,MATCH(MIN(F12:F15),F12:F15,0))</f>
        <v>M/s. Powertech Engineer, Rajsamand</v>
      </c>
      <c r="C17" s="26"/>
      <c r="D17" s="27">
        <f>INDEX(D12:D15,MATCH(MIN(F12:F15),F12:F15,0))</f>
        <v>1</v>
      </c>
      <c r="E17" s="26" t="str">
        <f>INDEX(E12:E15,MATCH(MIN(F12:F15),F12:F15,0))</f>
        <v>BELOW</v>
      </c>
      <c r="F17" s="74">
        <f>ROUND(MIN(F12:F15),0)</f>
        <v>635278</v>
      </c>
    </row>
    <row r="18" spans="1:7" ht="57" customHeight="1" x14ac:dyDescent="0.25">
      <c r="A18" s="8"/>
      <c r="B18" s="8"/>
      <c r="C18" s="91" t="e">
        <f ca="1">_xlfn.CONCAT("The tender of the lowest bidder "," ", Lowest_bidder_item4," @ ",ROUND(percentile_item4,2),"%  ",Above_Below_item4," amounting to Rs.  ",ROUND(Bid_Amount_item4,0),"/-- In words Rupees. ",NumToWords(Bid_Amount_item4),".")</f>
        <v>#NAME?</v>
      </c>
      <c r="D18" s="92"/>
      <c r="E18" s="92"/>
      <c r="F18" s="93"/>
    </row>
    <row r="19" spans="1:7" ht="13.15" customHeight="1" x14ac:dyDescent="0.25">
      <c r="A19" s="8"/>
      <c r="B19" s="8"/>
      <c r="C19" s="28"/>
      <c r="D19" s="99"/>
      <c r="E19" s="81"/>
      <c r="F19" s="100"/>
    </row>
    <row r="20" spans="1:7" ht="15" customHeight="1" thickBot="1" x14ac:dyDescent="0.3">
      <c r="A20" s="8"/>
      <c r="B20" s="8"/>
      <c r="C20" s="94" t="s">
        <v>24</v>
      </c>
      <c r="D20" s="95"/>
      <c r="E20" s="95"/>
      <c r="F20" s="96"/>
    </row>
    <row r="21" spans="1:7" ht="15" customHeight="1" x14ac:dyDescent="0.25">
      <c r="A21" s="8"/>
      <c r="B21" s="8"/>
      <c r="C21" s="50"/>
      <c r="D21" s="73"/>
      <c r="E21" s="73"/>
      <c r="F21" s="73"/>
    </row>
    <row r="22" spans="1:7" ht="15" customHeight="1" x14ac:dyDescent="0.25">
      <c r="A22" s="8"/>
      <c r="B22" s="8"/>
      <c r="C22" s="50"/>
      <c r="D22" s="73"/>
      <c r="E22" s="73"/>
      <c r="F22" s="73"/>
    </row>
    <row r="23" spans="1:7" x14ac:dyDescent="0.25">
      <c r="D23" s="22"/>
      <c r="E23" s="6"/>
      <c r="F23" s="82"/>
      <c r="G23" s="81"/>
    </row>
    <row r="24" spans="1:7" s="13" customFormat="1" ht="18" customHeight="1" x14ac:dyDescent="0.3">
      <c r="A24" s="80" t="s">
        <v>25</v>
      </c>
      <c r="B24" s="81"/>
      <c r="C24" s="81"/>
      <c r="D24" s="81"/>
      <c r="E24" s="81"/>
      <c r="F24" s="81"/>
      <c r="G24" s="81"/>
    </row>
    <row r="25" spans="1:7" s="13" customFormat="1" ht="18" customHeight="1" x14ac:dyDescent="0.3">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E22"/>
  <sheetViews>
    <sheetView view="pageBreakPreview" topLeftCell="A13" zoomScaleNormal="100" zoomScaleSheetLayoutView="100" workbookViewId="0">
      <selection activeCell="B16" sqref="B16:D16"/>
    </sheetView>
  </sheetViews>
  <sheetFormatPr defaultRowHeight="15" x14ac:dyDescent="0.25"/>
  <cols>
    <col min="1" max="1" width="8" customWidth="1"/>
    <col min="2" max="2" width="15.85546875" style="16" customWidth="1"/>
    <col min="3" max="3" width="8.85546875" customWidth="1"/>
    <col min="4" max="4" width="4.85546875" customWidth="1"/>
    <col min="5" max="5" width="62.42578125" customWidth="1"/>
  </cols>
  <sheetData>
    <row r="1" spans="1:5" ht="16.5" customHeight="1" x14ac:dyDescent="0.25">
      <c r="A1" s="127" t="s">
        <v>26</v>
      </c>
      <c r="B1" s="114"/>
      <c r="C1" s="115"/>
      <c r="D1" s="115"/>
      <c r="E1" s="115"/>
    </row>
    <row r="2" spans="1:5" ht="35.1" customHeight="1" x14ac:dyDescent="0.25">
      <c r="A2" s="1">
        <v>1</v>
      </c>
      <c r="B2" s="116" t="s">
        <v>27</v>
      </c>
      <c r="C2" s="117"/>
      <c r="D2" s="118"/>
      <c r="E2" s="3"/>
    </row>
    <row r="3" spans="1:5" s="16" customFormat="1" ht="15" customHeight="1" x14ac:dyDescent="0.25">
      <c r="A3" s="55" t="s">
        <v>28</v>
      </c>
      <c r="B3" s="119" t="s">
        <v>29</v>
      </c>
      <c r="C3" s="117"/>
      <c r="D3" s="118"/>
      <c r="E3" s="30" t="str">
        <f>'Compare-4'!C3</f>
        <v xml:space="preserve">Electric cabling and maintenance work in Sahelion ki Bari , Udaipur  </v>
      </c>
    </row>
    <row r="4" spans="1:5" ht="15" customHeight="1" x14ac:dyDescent="0.25">
      <c r="A4" s="4"/>
      <c r="B4" s="128" t="s">
        <v>30</v>
      </c>
      <c r="C4" s="117"/>
      <c r="D4" s="118"/>
      <c r="E4" s="21"/>
    </row>
    <row r="5" spans="1:5" ht="15" customHeight="1" x14ac:dyDescent="0.25">
      <c r="A5" s="1">
        <v>3</v>
      </c>
      <c r="B5" s="119" t="s">
        <v>31</v>
      </c>
      <c r="C5" s="117"/>
      <c r="D5" s="118"/>
      <c r="E5" s="3"/>
    </row>
    <row r="6" spans="1:5" ht="15" customHeight="1" x14ac:dyDescent="0.25">
      <c r="A6" s="1"/>
      <c r="B6" s="129" t="s">
        <v>32</v>
      </c>
      <c r="C6" s="117"/>
      <c r="D6" s="118"/>
      <c r="E6" s="3">
        <f>'Compare-4'!C5</f>
        <v>641694</v>
      </c>
    </row>
    <row r="7" spans="1:5" ht="50.45" customHeight="1" x14ac:dyDescent="0.25">
      <c r="A7" s="1">
        <v>4</v>
      </c>
      <c r="B7" s="119" t="s">
        <v>33</v>
      </c>
      <c r="C7" s="117"/>
      <c r="D7" s="118"/>
      <c r="E7" s="3"/>
    </row>
    <row r="8" spans="1:5" ht="35.1" customHeight="1" x14ac:dyDescent="0.25">
      <c r="A8" s="1">
        <v>5</v>
      </c>
      <c r="B8" s="116" t="s">
        <v>15</v>
      </c>
      <c r="C8" s="117"/>
      <c r="D8" s="118"/>
      <c r="E8" s="20">
        <f>'Compare-4'!F4</f>
        <v>45728</v>
      </c>
    </row>
    <row r="9" spans="1:5" ht="34.9" customHeight="1" x14ac:dyDescent="0.25">
      <c r="A9" s="1">
        <v>6</v>
      </c>
      <c r="B9" s="116" t="s">
        <v>34</v>
      </c>
      <c r="C9" s="117"/>
      <c r="D9" s="118"/>
      <c r="E9" s="20">
        <f>'Compare-4'!G10</f>
        <v>45740</v>
      </c>
    </row>
    <row r="10" spans="1:5" ht="35.1" customHeight="1" x14ac:dyDescent="0.25">
      <c r="A10" s="1">
        <v>7</v>
      </c>
      <c r="B10" s="116" t="s">
        <v>35</v>
      </c>
      <c r="C10" s="117"/>
      <c r="D10" s="118"/>
      <c r="E10" s="5">
        <f>'Compare-4'!G7</f>
        <v>4</v>
      </c>
    </row>
    <row r="11" spans="1:5" ht="34.9" customHeight="1" x14ac:dyDescent="0.25">
      <c r="A11" s="1">
        <v>8</v>
      </c>
      <c r="B11" s="116" t="s">
        <v>36</v>
      </c>
      <c r="C11" s="117"/>
      <c r="D11" s="118"/>
      <c r="E11" s="5">
        <f>'Compare-4'!G8</f>
        <v>4</v>
      </c>
    </row>
    <row r="12" spans="1:5" ht="34.9" customHeight="1" x14ac:dyDescent="0.25">
      <c r="A12" s="1">
        <v>9</v>
      </c>
      <c r="B12" s="119" t="s">
        <v>37</v>
      </c>
      <c r="C12" s="117"/>
      <c r="D12" s="118"/>
      <c r="E12" s="2" t="s">
        <v>38</v>
      </c>
    </row>
    <row r="13" spans="1:5" ht="35.1" customHeight="1" x14ac:dyDescent="0.25">
      <c r="A13" s="1">
        <v>10</v>
      </c>
      <c r="B13" s="116" t="s">
        <v>39</v>
      </c>
      <c r="C13" s="117"/>
      <c r="D13" s="118"/>
      <c r="E13" s="37" t="s">
        <v>9</v>
      </c>
    </row>
    <row r="14" spans="1:5" ht="40.5" customHeight="1" x14ac:dyDescent="0.25">
      <c r="A14" s="55" t="s">
        <v>40</v>
      </c>
      <c r="B14" s="120" t="s">
        <v>41</v>
      </c>
      <c r="C14" s="121"/>
      <c r="D14" s="121"/>
      <c r="E14" s="38" t="str">
        <f>_xlfn.CONCAT(TEXT(ROUND([0]!percentile_item4,4), "#,##0.00"), " % ", [0]!Above_Below_item4, ". No Condition.")</f>
        <v>1.00 % BELOW. No Condition.</v>
      </c>
    </row>
    <row r="15" spans="1:5" ht="44.25" customHeight="1" x14ac:dyDescent="0.25">
      <c r="A15" s="55" t="s">
        <v>42</v>
      </c>
      <c r="B15" s="119" t="s">
        <v>43</v>
      </c>
      <c r="C15" s="117"/>
      <c r="D15" s="118"/>
      <c r="E15" s="33" t="s">
        <v>44</v>
      </c>
    </row>
    <row r="16" spans="1:5" ht="35.1" customHeight="1" x14ac:dyDescent="0.25">
      <c r="A16" s="1">
        <v>13</v>
      </c>
      <c r="B16" s="116" t="s">
        <v>45</v>
      </c>
      <c r="C16" s="117"/>
      <c r="D16" s="118"/>
      <c r="E16" s="15" t="str">
        <f>[0]!Lowest_bidder_item4</f>
        <v>M/s. Powertech Engineer, Rajsamand</v>
      </c>
    </row>
    <row r="17" spans="1:5" ht="52.15" customHeight="1" x14ac:dyDescent="0.25">
      <c r="A17" s="56" t="s">
        <v>46</v>
      </c>
      <c r="B17" s="125" t="s">
        <v>47</v>
      </c>
      <c r="C17" s="121"/>
      <c r="D17" s="126"/>
      <c r="E17" s="2" t="s">
        <v>48</v>
      </c>
    </row>
    <row r="18" spans="1:5" x14ac:dyDescent="0.25">
      <c r="A18" s="35">
        <v>15</v>
      </c>
      <c r="B18" s="122" t="s">
        <v>49</v>
      </c>
      <c r="C18" s="123"/>
      <c r="D18" s="124"/>
      <c r="E18" s="31" t="s">
        <v>50</v>
      </c>
    </row>
    <row r="19" spans="1:5" x14ac:dyDescent="0.25">
      <c r="A19" s="36"/>
      <c r="B19" s="107" t="s">
        <v>51</v>
      </c>
      <c r="C19" s="108"/>
      <c r="D19" s="109"/>
      <c r="E19" s="32">
        <f>'Compare-4'!G10+20</f>
        <v>45760</v>
      </c>
    </row>
    <row r="20" spans="1:5" x14ac:dyDescent="0.25">
      <c r="A20" s="34">
        <v>16</v>
      </c>
      <c r="B20" s="110" t="s">
        <v>52</v>
      </c>
      <c r="C20" s="111"/>
      <c r="D20" s="112"/>
      <c r="E20" s="2" t="s">
        <v>53</v>
      </c>
    </row>
    <row r="21" spans="1:5" ht="35.1" customHeight="1" x14ac:dyDescent="0.25">
      <c r="A21" s="17"/>
      <c r="B21" s="18"/>
      <c r="C21" s="18"/>
      <c r="D21" s="18"/>
      <c r="E21" s="18"/>
    </row>
    <row r="22" spans="1:5" ht="15" customHeight="1" x14ac:dyDescent="0.25">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I41"/>
  <sheetViews>
    <sheetView view="pageBreakPreview" topLeftCell="A7" zoomScaleNormal="100" zoomScaleSheetLayoutView="100" workbookViewId="0">
      <selection activeCell="A16" sqref="A16:I16"/>
    </sheetView>
  </sheetViews>
  <sheetFormatPr defaultColWidth="8.85546875" defaultRowHeight="15" x14ac:dyDescent="0.25"/>
  <cols>
    <col min="1" max="2" width="8.85546875" style="40" customWidth="1"/>
    <col min="3" max="5" width="10.28515625" style="40" bestFit="1" customWidth="1"/>
    <col min="6" max="6" width="8.85546875" style="40" customWidth="1"/>
    <col min="7" max="16384" width="8.85546875" style="40"/>
  </cols>
  <sheetData>
    <row r="1" spans="1:9" x14ac:dyDescent="0.25">
      <c r="A1" s="132" t="s">
        <v>54</v>
      </c>
      <c r="B1" s="131"/>
      <c r="C1" s="131"/>
      <c r="D1" s="131"/>
      <c r="E1" s="131"/>
      <c r="F1" s="131"/>
      <c r="G1" s="131"/>
      <c r="H1" s="131"/>
      <c r="I1" s="131"/>
    </row>
    <row r="2" spans="1:9" x14ac:dyDescent="0.25">
      <c r="A2" s="39"/>
      <c r="B2" s="39"/>
      <c r="C2" s="39"/>
      <c r="D2" s="39"/>
      <c r="E2" s="39"/>
      <c r="F2" s="39"/>
      <c r="G2" s="39"/>
      <c r="H2" s="41" t="s">
        <v>55</v>
      </c>
      <c r="I2" s="39"/>
    </row>
    <row r="3" spans="1:9" x14ac:dyDescent="0.25">
      <c r="A3" s="42" t="s">
        <v>56</v>
      </c>
      <c r="B3" s="39"/>
      <c r="C3" s="39"/>
      <c r="D3" s="39"/>
      <c r="E3" s="39"/>
      <c r="F3" s="39"/>
      <c r="G3" s="42" t="s">
        <v>57</v>
      </c>
      <c r="H3" s="42"/>
      <c r="I3" s="39"/>
    </row>
    <row r="4" spans="1:9" x14ac:dyDescent="0.25">
      <c r="A4" s="133" t="s">
        <v>94</v>
      </c>
      <c r="B4" s="131"/>
      <c r="C4" s="131"/>
      <c r="D4" s="131"/>
      <c r="E4" s="131"/>
      <c r="F4" s="131"/>
      <c r="G4" s="131"/>
      <c r="H4" s="131"/>
      <c r="I4" s="131"/>
    </row>
    <row r="5" spans="1:9" x14ac:dyDescent="0.25">
      <c r="A5" s="53" t="s">
        <v>93</v>
      </c>
    </row>
    <row r="6" spans="1:9" x14ac:dyDescent="0.25">
      <c r="A6" s="43" t="str">
        <f>[0]!Lowest_bidder_item4</f>
        <v>M/s. Powertech Engineer, Rajsamand</v>
      </c>
    </row>
    <row r="7" spans="1:9" x14ac:dyDescent="0.25">
      <c r="A7" s="43"/>
    </row>
    <row r="9" spans="1:9" ht="31.15" customHeight="1" x14ac:dyDescent="0.25">
      <c r="A9" s="44" t="s">
        <v>58</v>
      </c>
      <c r="B9" s="44"/>
      <c r="C9" s="134" t="str">
        <f>'Compare-4'!C3</f>
        <v xml:space="preserve">Electric cabling and maintenance work in Sahelion ki Bari , Udaipur  </v>
      </c>
      <c r="D9" s="131"/>
      <c r="E9" s="131"/>
      <c r="F9" s="131"/>
      <c r="G9" s="131"/>
      <c r="H9" s="131"/>
      <c r="I9" s="131"/>
    </row>
    <row r="10" spans="1:9" x14ac:dyDescent="0.25">
      <c r="A10" s="40" t="s">
        <v>59</v>
      </c>
      <c r="C10" s="40" t="str">
        <f>'Compare-4'!B4</f>
        <v>27/2024-25</v>
      </c>
      <c r="E10" s="40" t="str">
        <f>'Compare-4'!G4</f>
        <v>ITEM-4</v>
      </c>
    </row>
    <row r="11" spans="1:9" x14ac:dyDescent="0.25">
      <c r="A11" s="40" t="s">
        <v>60</v>
      </c>
      <c r="C11" s="45">
        <f>'Compare-4'!F4</f>
        <v>45728</v>
      </c>
    </row>
    <row r="12" spans="1:9" x14ac:dyDescent="0.25">
      <c r="A12" s="40" t="s">
        <v>61</v>
      </c>
      <c r="D12" s="45">
        <f>'Compare-4'!G10</f>
        <v>45740</v>
      </c>
    </row>
    <row r="13" spans="1:9" x14ac:dyDescent="0.25">
      <c r="A13" s="40" t="s">
        <v>62</v>
      </c>
      <c r="E13" s="45">
        <f>D12</f>
        <v>45740</v>
      </c>
    </row>
    <row r="14" spans="1:9" x14ac:dyDescent="0.25">
      <c r="A14" s="40" t="s">
        <v>63</v>
      </c>
    </row>
    <row r="15" spans="1:9" ht="64.900000000000006" customHeight="1" x14ac:dyDescent="0.25">
      <c r="A15" s="135" t="e">
        <f ca="1">_xlfn.CONCAT("       Your tender for the above work has been accepted on behalf of the Governor of Rajasthan @  ",ROUND([0]!percentile_item4,2), "%  ",[0]!Above_Below_item4," amounting to Rs.  ",ROUND([0]!Bid_Amount_item4,0),"/-- In words Rupees. ",NumToWords([0]!Bid_Amount_item4),".")</f>
        <v>#NAME?</v>
      </c>
      <c r="B15" s="131"/>
      <c r="C15" s="131"/>
      <c r="D15" s="131"/>
      <c r="E15" s="131"/>
      <c r="F15" s="131"/>
      <c r="G15" s="131"/>
      <c r="H15" s="131"/>
      <c r="I15" s="131"/>
    </row>
    <row r="16" spans="1:9" ht="66" customHeight="1" x14ac:dyDescent="0.25">
      <c r="A16" s="135" t="s">
        <v>64</v>
      </c>
      <c r="B16" s="131"/>
      <c r="C16" s="131"/>
      <c r="D16" s="131"/>
      <c r="E16" s="131"/>
      <c r="F16" s="131"/>
      <c r="G16" s="131"/>
      <c r="H16" s="131"/>
      <c r="I16" s="131"/>
    </row>
    <row r="18" spans="1:9" x14ac:dyDescent="0.25">
      <c r="A18" s="40" t="s">
        <v>65</v>
      </c>
    </row>
    <row r="19" spans="1:9" x14ac:dyDescent="0.25">
      <c r="A19" s="40" t="s">
        <v>66</v>
      </c>
      <c r="F19" s="130">
        <v>45741</v>
      </c>
      <c r="G19" s="131"/>
    </row>
    <row r="20" spans="1:9" x14ac:dyDescent="0.25">
      <c r="A20" s="40" t="s">
        <v>67</v>
      </c>
      <c r="F20" s="130">
        <v>46015.23</v>
      </c>
      <c r="G20" s="131"/>
    </row>
    <row r="21" spans="1:9" x14ac:dyDescent="0.25">
      <c r="A21" s="40" t="s">
        <v>68</v>
      </c>
    </row>
    <row r="22" spans="1:9" x14ac:dyDescent="0.25">
      <c r="A22" s="40" t="s">
        <v>69</v>
      </c>
    </row>
    <row r="23" spans="1:9" x14ac:dyDescent="0.25">
      <c r="A23" s="40" t="s">
        <v>70</v>
      </c>
    </row>
    <row r="25" spans="1:9" x14ac:dyDescent="0.25">
      <c r="A25" s="40" t="s">
        <v>71</v>
      </c>
    </row>
    <row r="27" spans="1:9" x14ac:dyDescent="0.25">
      <c r="A27" s="40" t="s">
        <v>72</v>
      </c>
    </row>
    <row r="28" spans="1:9" x14ac:dyDescent="0.25">
      <c r="A28" s="40" t="s">
        <v>73</v>
      </c>
    </row>
    <row r="29" spans="1:9" x14ac:dyDescent="0.25">
      <c r="A29" s="42" t="s">
        <v>56</v>
      </c>
      <c r="B29" s="39"/>
      <c r="C29" s="39"/>
      <c r="D29" s="39"/>
      <c r="E29" s="39"/>
      <c r="F29" s="39"/>
      <c r="G29" s="42" t="s">
        <v>57</v>
      </c>
      <c r="H29" s="42"/>
      <c r="I29" s="39"/>
    </row>
    <row r="30" spans="1:9" x14ac:dyDescent="0.25">
      <c r="A30" s="40" t="s">
        <v>74</v>
      </c>
    </row>
    <row r="31" spans="1:9" x14ac:dyDescent="0.25">
      <c r="A31" s="40" t="s">
        <v>75</v>
      </c>
    </row>
    <row r="32" spans="1:9" x14ac:dyDescent="0.25">
      <c r="A32" s="40" t="s">
        <v>76</v>
      </c>
    </row>
    <row r="33" spans="1:1" x14ac:dyDescent="0.25">
      <c r="A33" s="40" t="s">
        <v>77</v>
      </c>
    </row>
    <row r="34" spans="1:1" x14ac:dyDescent="0.25">
      <c r="A34" s="40" t="s">
        <v>78</v>
      </c>
    </row>
    <row r="35" spans="1:1" x14ac:dyDescent="0.25">
      <c r="A35" s="40" t="s">
        <v>79</v>
      </c>
    </row>
    <row r="36" spans="1:1" x14ac:dyDescent="0.25">
      <c r="A36" s="40" t="s">
        <v>80</v>
      </c>
    </row>
    <row r="37" spans="1:1" x14ac:dyDescent="0.25">
      <c r="A37" s="40" t="s">
        <v>81</v>
      </c>
    </row>
    <row r="38" spans="1:1" x14ac:dyDescent="0.25">
      <c r="A38" s="40" t="s">
        <v>82</v>
      </c>
    </row>
    <row r="40" spans="1:1" x14ac:dyDescent="0.25">
      <c r="A40" s="40" t="s">
        <v>83</v>
      </c>
    </row>
    <row r="41" spans="1:1" x14ac:dyDescent="0.25">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I28"/>
  <sheetViews>
    <sheetView view="pageBreakPreview" zoomScaleNormal="100" zoomScaleSheetLayoutView="100" workbookViewId="0">
      <selection activeCell="D16" sqref="D16"/>
    </sheetView>
  </sheetViews>
  <sheetFormatPr defaultColWidth="8.85546875" defaultRowHeight="15" x14ac:dyDescent="0.25"/>
  <cols>
    <col min="1" max="2" width="8.85546875" style="40" customWidth="1"/>
    <col min="3" max="5" width="11.28515625" style="40" bestFit="1" customWidth="1"/>
    <col min="6" max="6" width="8.85546875" style="40" customWidth="1"/>
    <col min="7" max="16384" width="8.85546875" style="40"/>
  </cols>
  <sheetData>
    <row r="1" spans="1:9" ht="15.75" x14ac:dyDescent="0.25">
      <c r="A1" s="138" t="s">
        <v>54</v>
      </c>
      <c r="B1" s="137"/>
      <c r="C1" s="137"/>
      <c r="D1" s="137"/>
      <c r="E1" s="137"/>
      <c r="F1" s="137"/>
      <c r="G1" s="137"/>
      <c r="H1" s="137"/>
      <c r="I1" s="137"/>
    </row>
    <row r="2" spans="1:9" x14ac:dyDescent="0.25">
      <c r="A2" s="42" t="s">
        <v>56</v>
      </c>
      <c r="B2" s="39"/>
      <c r="C2" s="39"/>
      <c r="D2" s="39"/>
      <c r="E2" s="39"/>
      <c r="F2" s="39"/>
      <c r="G2" s="42" t="s">
        <v>57</v>
      </c>
      <c r="H2" s="42"/>
      <c r="I2" s="39"/>
    </row>
    <row r="3" spans="1:9" ht="18.75" x14ac:dyDescent="0.3">
      <c r="A3" s="139" t="s">
        <v>85</v>
      </c>
      <c r="B3" s="140"/>
      <c r="C3" s="140"/>
      <c r="D3" s="140"/>
      <c r="E3" s="140"/>
      <c r="F3" s="140"/>
      <c r="G3" s="140"/>
      <c r="H3" s="140"/>
      <c r="I3" s="140"/>
    </row>
    <row r="4" spans="1:9" x14ac:dyDescent="0.25">
      <c r="A4" s="53" t="s">
        <v>93</v>
      </c>
    </row>
    <row r="5" spans="1:9" x14ac:dyDescent="0.25">
      <c r="A5" s="43" t="str">
        <f>[0]!Lowest_bidder_item4</f>
        <v>M/s. Powertech Engineer, Rajsamand</v>
      </c>
    </row>
    <row r="6" spans="1:9" x14ac:dyDescent="0.25">
      <c r="A6" s="43"/>
    </row>
    <row r="8" spans="1:9" s="47" customFormat="1" ht="31.15" customHeight="1" x14ac:dyDescent="0.25">
      <c r="A8" s="51" t="s">
        <v>89</v>
      </c>
      <c r="B8" s="46"/>
      <c r="C8" s="141" t="s">
        <v>3</v>
      </c>
      <c r="D8" s="137"/>
      <c r="E8" s="137"/>
      <c r="F8" s="137"/>
      <c r="G8" s="137"/>
      <c r="H8" s="137"/>
      <c r="I8" s="137"/>
    </row>
    <row r="9" spans="1:9" s="47" customFormat="1" ht="15.6" customHeight="1" x14ac:dyDescent="0.25">
      <c r="A9" s="47" t="s">
        <v>59</v>
      </c>
      <c r="C9" s="47" t="str">
        <f>'Compare-4'!B4</f>
        <v>27/2024-25</v>
      </c>
      <c r="E9" s="52" t="str">
        <f>'Compare-4'!G4</f>
        <v>ITEM-4</v>
      </c>
    </row>
    <row r="10" spans="1:9" s="47" customFormat="1" ht="15.6" customHeight="1" x14ac:dyDescent="0.25">
      <c r="A10" s="47" t="s">
        <v>60</v>
      </c>
      <c r="C10" s="48">
        <f>'Compare-4'!F4</f>
        <v>45728</v>
      </c>
    </row>
    <row r="11" spans="1:9" s="47" customFormat="1" ht="15.6" customHeight="1" x14ac:dyDescent="0.25">
      <c r="A11" s="47" t="s">
        <v>61</v>
      </c>
      <c r="D11" s="48">
        <f>'Compare-4'!G10</f>
        <v>45740</v>
      </c>
    </row>
    <row r="12" spans="1:9" s="47" customFormat="1" ht="15.6" customHeight="1" x14ac:dyDescent="0.25">
      <c r="A12" s="47" t="s">
        <v>62</v>
      </c>
      <c r="E12" s="48">
        <f>D11</f>
        <v>45740</v>
      </c>
    </row>
    <row r="13" spans="1:9" s="47" customFormat="1" ht="15.6" customHeight="1" x14ac:dyDescent="0.25">
      <c r="A13" s="47" t="s">
        <v>63</v>
      </c>
    </row>
    <row r="14" spans="1:9" s="47" customFormat="1" ht="74.45" customHeight="1" x14ac:dyDescent="0.25">
      <c r="A14" s="136" t="e">
        <f ca="1">_xlfn.CONCAT("       Your tender for the above work has been accepted on behalf of the Governor of Rajasthan @  ",ROUND([0]!percentile_item4,2), "%  ",[0]!Above_Below_item4," amounting to Rs.  ",ROUND([0]!Bid_Amount_item4,0),"/-- In words Rupees. ",NumToWords([0]!Bid_Amount_item4),"by the undersingned Executive Engineer PWD Electric Divistion Udaipur.")</f>
        <v>#NAME?</v>
      </c>
      <c r="B14" s="137"/>
      <c r="C14" s="137"/>
      <c r="D14" s="137"/>
      <c r="E14" s="137"/>
      <c r="F14" s="137"/>
      <c r="G14" s="137"/>
      <c r="H14" s="137"/>
      <c r="I14" s="137"/>
    </row>
    <row r="15" spans="1:9" s="47" customFormat="1" ht="109.9" customHeight="1" x14ac:dyDescent="0.25">
      <c r="A15" s="136" t="s">
        <v>86</v>
      </c>
      <c r="B15" s="137"/>
      <c r="C15" s="137"/>
      <c r="D15" s="137"/>
      <c r="E15" s="137"/>
      <c r="F15" s="137"/>
      <c r="G15" s="137"/>
      <c r="H15" s="137"/>
      <c r="I15" s="137"/>
    </row>
    <row r="16" spans="1:9" s="47" customFormat="1" ht="15.6" customHeight="1" x14ac:dyDescent="0.25">
      <c r="A16" s="47" t="s">
        <v>87</v>
      </c>
    </row>
    <row r="17" spans="1:9" s="47" customFormat="1" ht="15.6" customHeight="1" x14ac:dyDescent="0.25"/>
    <row r="18" spans="1:9" s="47" customFormat="1" ht="15.6" customHeight="1" x14ac:dyDescent="0.25">
      <c r="A18" s="47" t="s">
        <v>71</v>
      </c>
    </row>
    <row r="19" spans="1:9" s="47" customFormat="1" ht="15.6" customHeight="1" x14ac:dyDescent="0.25"/>
    <row r="20" spans="1:9" s="47" customFormat="1" ht="15.6" customHeight="1" x14ac:dyDescent="0.25">
      <c r="A20" s="47" t="s">
        <v>72</v>
      </c>
    </row>
    <row r="21" spans="1:9" s="47" customFormat="1" ht="15.6" customHeight="1" x14ac:dyDescent="0.25">
      <c r="A21" s="47" t="s">
        <v>73</v>
      </c>
    </row>
    <row r="22" spans="1:9" s="47" customFormat="1" ht="15.6" customHeight="1" x14ac:dyDescent="0.25">
      <c r="A22" s="49" t="s">
        <v>56</v>
      </c>
      <c r="B22" s="49"/>
      <c r="C22" s="49"/>
      <c r="D22" s="49"/>
      <c r="E22" s="49"/>
      <c r="F22" s="49"/>
      <c r="G22" s="49" t="s">
        <v>57</v>
      </c>
      <c r="H22" s="49"/>
      <c r="I22" s="49"/>
    </row>
    <row r="23" spans="1:9" s="47" customFormat="1" ht="15.6" customHeight="1" x14ac:dyDescent="0.25">
      <c r="A23" s="47" t="s">
        <v>74</v>
      </c>
    </row>
    <row r="24" spans="1:9" s="47" customFormat="1" ht="15.6" customHeight="1" x14ac:dyDescent="0.25">
      <c r="A24" s="47" t="s">
        <v>88</v>
      </c>
    </row>
    <row r="25" spans="1:9" s="47" customFormat="1" ht="15.6" customHeight="1" x14ac:dyDescent="0.25">
      <c r="A25" s="47" t="s">
        <v>90</v>
      </c>
    </row>
    <row r="26" spans="1:9" s="47" customFormat="1" ht="15.6" customHeight="1" x14ac:dyDescent="0.25"/>
    <row r="27" spans="1:9" x14ac:dyDescent="0.25">
      <c r="A27" s="40" t="s">
        <v>83</v>
      </c>
    </row>
    <row r="28" spans="1:9" x14ac:dyDescent="0.25">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G25"/>
  <sheetViews>
    <sheetView view="pageBreakPreview" zoomScaleNormal="100" zoomScaleSheetLayoutView="100" workbookViewId="0">
      <selection activeCell="J8" sqref="J8"/>
    </sheetView>
  </sheetViews>
  <sheetFormatPr defaultColWidth="9.140625" defaultRowHeight="15" x14ac:dyDescent="0.25"/>
  <cols>
    <col min="1" max="1" width="9.140625" style="6" customWidth="1"/>
    <col min="2" max="2" width="49.28515625" style="6" customWidth="1"/>
    <col min="3" max="3" width="12.7109375" style="6" customWidth="1"/>
    <col min="4" max="4" width="9" style="6" customWidth="1"/>
    <col min="5" max="5" width="6.7109375" style="22" customWidth="1"/>
    <col min="6" max="6" width="26" style="6" customWidth="1"/>
    <col min="7" max="7" width="14.28515625" style="6" customWidth="1"/>
    <col min="8" max="16384" width="9.140625" style="6"/>
  </cols>
  <sheetData>
    <row r="1" spans="1:7" x14ac:dyDescent="0.25">
      <c r="A1" s="102" t="s">
        <v>0</v>
      </c>
      <c r="B1" s="103"/>
      <c r="C1" s="103"/>
      <c r="D1" s="103"/>
      <c r="E1" s="103"/>
      <c r="F1" s="103"/>
      <c r="G1" s="103"/>
    </row>
    <row r="2" spans="1:7" ht="15.6" customHeight="1" x14ac:dyDescent="0.25">
      <c r="A2" s="104" t="s">
        <v>1</v>
      </c>
      <c r="B2" s="103"/>
      <c r="C2" s="103"/>
      <c r="D2" s="103"/>
      <c r="E2" s="103"/>
      <c r="F2" s="103"/>
      <c r="G2" s="103"/>
    </row>
    <row r="3" spans="1:7" ht="31.15" customHeight="1" x14ac:dyDescent="0.25">
      <c r="A3" s="7" t="s">
        <v>2</v>
      </c>
      <c r="C3" s="106" t="s">
        <v>3</v>
      </c>
      <c r="D3" s="106"/>
      <c r="E3" s="106"/>
      <c r="F3" s="106"/>
      <c r="G3" s="106"/>
    </row>
    <row r="4" spans="1:7" x14ac:dyDescent="0.25">
      <c r="A4" s="58" t="s">
        <v>4</v>
      </c>
      <c r="B4" s="77" t="str">
        <f>'Compare-1'!B4</f>
        <v>27/2024-25</v>
      </c>
      <c r="C4" s="142" t="s">
        <v>5</v>
      </c>
      <c r="D4" s="143"/>
      <c r="E4" s="143"/>
      <c r="F4" s="78">
        <f>'Compare-1'!F4</f>
        <v>45728</v>
      </c>
      <c r="G4" s="75" t="s">
        <v>109</v>
      </c>
    </row>
    <row r="5" spans="1:7" s="9" customFormat="1" x14ac:dyDescent="0.2">
      <c r="A5" s="62" t="s">
        <v>92</v>
      </c>
      <c r="B5" s="62"/>
      <c r="C5" s="144">
        <f>C12</f>
        <v>641694</v>
      </c>
      <c r="D5" s="143"/>
      <c r="E5" s="63"/>
      <c r="F5" s="64" t="s">
        <v>98</v>
      </c>
      <c r="G5" s="65">
        <v>13000</v>
      </c>
    </row>
    <row r="6" spans="1:7" s="9" customFormat="1" x14ac:dyDescent="0.2">
      <c r="A6" s="62" t="s">
        <v>7</v>
      </c>
      <c r="B6" s="62"/>
      <c r="C6" s="85">
        <f>ROUNDUP(F17,0)</f>
        <v>628861</v>
      </c>
      <c r="D6" s="86"/>
      <c r="E6" s="66"/>
      <c r="F6" s="64" t="s">
        <v>91</v>
      </c>
      <c r="G6" s="67">
        <v>9</v>
      </c>
    </row>
    <row r="7" spans="1:7" s="9" customFormat="1" x14ac:dyDescent="0.2">
      <c r="A7" s="87" t="s">
        <v>8</v>
      </c>
      <c r="B7" s="84"/>
      <c r="C7" s="87" t="s">
        <v>9</v>
      </c>
      <c r="D7" s="84"/>
      <c r="E7" s="57"/>
      <c r="F7" s="68" t="s">
        <v>10</v>
      </c>
      <c r="G7" s="69">
        <v>4</v>
      </c>
    </row>
    <row r="8" spans="1:7" s="9" customFormat="1" x14ac:dyDescent="0.2">
      <c r="A8" s="87" t="s">
        <v>11</v>
      </c>
      <c r="B8" s="84"/>
      <c r="C8" s="57" t="s">
        <v>12</v>
      </c>
      <c r="D8" s="70"/>
      <c r="E8" s="57"/>
      <c r="F8" s="68" t="s">
        <v>13</v>
      </c>
      <c r="G8" s="64">
        <v>4</v>
      </c>
    </row>
    <row r="9" spans="1:7" s="9" customFormat="1" x14ac:dyDescent="0.2">
      <c r="A9" s="87" t="s">
        <v>14</v>
      </c>
      <c r="B9" s="84"/>
      <c r="C9" s="88">
        <f>C6</f>
        <v>628861</v>
      </c>
      <c r="D9" s="86"/>
      <c r="E9" s="71"/>
      <c r="F9" s="68" t="s">
        <v>15</v>
      </c>
      <c r="G9" s="76">
        <f>F4</f>
        <v>45728</v>
      </c>
    </row>
    <row r="10" spans="1:7" s="9" customFormat="1" x14ac:dyDescent="0.2">
      <c r="A10" s="87" t="s">
        <v>16</v>
      </c>
      <c r="B10" s="84"/>
      <c r="C10" s="87" t="s">
        <v>17</v>
      </c>
      <c r="D10" s="84"/>
      <c r="E10" s="84"/>
      <c r="F10" s="68" t="s">
        <v>18</v>
      </c>
      <c r="G10" s="76">
        <f>'Compare-1'!G8</f>
        <v>45740</v>
      </c>
    </row>
    <row r="11" spans="1:7" ht="27.75" customHeight="1" x14ac:dyDescent="0.25">
      <c r="A11" s="10" t="s">
        <v>19</v>
      </c>
      <c r="B11" s="11" t="s">
        <v>20</v>
      </c>
      <c r="C11" s="11" t="s">
        <v>96</v>
      </c>
      <c r="D11" s="89" t="s">
        <v>21</v>
      </c>
      <c r="E11" s="90"/>
      <c r="F11" s="101" t="s">
        <v>97</v>
      </c>
      <c r="G11" s="98"/>
    </row>
    <row r="12" spans="1:7" ht="22.9" customHeight="1" x14ac:dyDescent="0.25">
      <c r="A12" s="19">
        <v>1</v>
      </c>
      <c r="B12" s="12" t="s">
        <v>100</v>
      </c>
      <c r="C12" s="19">
        <v>641694</v>
      </c>
      <c r="D12" s="23">
        <v>2</v>
      </c>
      <c r="E12" s="29" t="s">
        <v>22</v>
      </c>
      <c r="F12" s="97">
        <f>IF(E12="below",ROUNDUP(C12*(1-D12/100),0),ROUNDUP(C12*(1+D12/100),0))</f>
        <v>628861</v>
      </c>
      <c r="G12" s="98"/>
    </row>
    <row r="13" spans="1:7" ht="18.600000000000001" customHeight="1" x14ac:dyDescent="0.25">
      <c r="A13" s="19">
        <v>2</v>
      </c>
      <c r="B13" s="12" t="s">
        <v>101</v>
      </c>
      <c r="C13" s="54">
        <f>$C$12</f>
        <v>641694</v>
      </c>
      <c r="D13" s="23">
        <v>1</v>
      </c>
      <c r="E13" s="29" t="s">
        <v>22</v>
      </c>
      <c r="F13" s="97">
        <f t="shared" ref="F13:F15" si="0">IF(E13="below",ROUNDUP(C13*(1-D13/100),0),ROUNDUP(C13*(1+D13/100),0))</f>
        <v>635278</v>
      </c>
      <c r="G13" s="98"/>
    </row>
    <row r="14" spans="1:7" ht="18.600000000000001" customHeight="1" x14ac:dyDescent="0.25">
      <c r="A14" s="19">
        <v>3</v>
      </c>
      <c r="B14" s="12" t="s">
        <v>102</v>
      </c>
      <c r="C14" s="54">
        <f>$C$12</f>
        <v>641694</v>
      </c>
      <c r="D14" s="23">
        <v>1</v>
      </c>
      <c r="E14" s="29" t="s">
        <v>22</v>
      </c>
      <c r="F14" s="97">
        <f t="shared" si="0"/>
        <v>635278</v>
      </c>
      <c r="G14" s="98"/>
    </row>
    <row r="15" spans="1:7" ht="21" customHeight="1" x14ac:dyDescent="0.25">
      <c r="A15" s="19">
        <v>4</v>
      </c>
      <c r="B15" s="12" t="s">
        <v>103</v>
      </c>
      <c r="C15" s="54">
        <f t="shared" ref="C15" si="1">$C$12</f>
        <v>641694</v>
      </c>
      <c r="D15" s="23">
        <v>0.1</v>
      </c>
      <c r="E15" s="29" t="s">
        <v>22</v>
      </c>
      <c r="F15" s="97">
        <f t="shared" si="0"/>
        <v>641053</v>
      </c>
      <c r="G15" s="98"/>
    </row>
    <row r="16" spans="1:7" ht="4.1500000000000004" customHeight="1" x14ac:dyDescent="0.25">
      <c r="D16" s="22"/>
      <c r="E16" s="6"/>
    </row>
    <row r="17" spans="1:7" ht="15" customHeight="1" thickBot="1" x14ac:dyDescent="0.3">
      <c r="A17" s="25" t="s">
        <v>23</v>
      </c>
      <c r="B17" s="26" t="str">
        <f>INDEX(B12:B15,MATCH(MIN(F12:F15),F12:F15,0))</f>
        <v>M/s. Vikas Enterprises, Udaipur</v>
      </c>
      <c r="C17" s="26"/>
      <c r="D17" s="27">
        <f>INDEX(D12:D15,MATCH(MIN(F12:F15),F12:F15,0))</f>
        <v>2</v>
      </c>
      <c r="E17" s="26" t="str">
        <f>INDEX(E12:E15,MATCH(MIN(F12:F15),F12:F15,0))</f>
        <v>BELOW</v>
      </c>
      <c r="F17" s="74">
        <f>ROUND(MIN(F12:F15),0)</f>
        <v>628861</v>
      </c>
    </row>
    <row r="18" spans="1:7" ht="57" customHeight="1" x14ac:dyDescent="0.25">
      <c r="A18" s="8"/>
      <c r="B18" s="8"/>
      <c r="C18" s="91" t="e">
        <f ca="1">_xlfn.CONCAT("The tender of the lowest bidder "," ", Lowest_bidder_item5," @ ",ROUND(percentile_item5,2),"%  ",Above_Below_item5," amounting to Rs.  ",ROUND(Bid_Amount_item5,0),"/-- In words Rupees. ",NumToWords(Bid_Amount_item5),".")</f>
        <v>#NAME?</v>
      </c>
      <c r="D18" s="92"/>
      <c r="E18" s="92"/>
      <c r="F18" s="93"/>
    </row>
    <row r="19" spans="1:7" ht="13.15" customHeight="1" x14ac:dyDescent="0.25">
      <c r="A19" s="8"/>
      <c r="B19" s="8"/>
      <c r="C19" s="28"/>
      <c r="D19" s="99"/>
      <c r="E19" s="81"/>
      <c r="F19" s="100"/>
    </row>
    <row r="20" spans="1:7" ht="15" customHeight="1" thickBot="1" x14ac:dyDescent="0.3">
      <c r="A20" s="8"/>
      <c r="B20" s="8"/>
      <c r="C20" s="94" t="s">
        <v>24</v>
      </c>
      <c r="D20" s="95"/>
      <c r="E20" s="95"/>
      <c r="F20" s="96"/>
    </row>
    <row r="21" spans="1:7" ht="15" customHeight="1" x14ac:dyDescent="0.25">
      <c r="A21" s="8"/>
      <c r="B21" s="8"/>
      <c r="C21" s="50"/>
      <c r="D21" s="73"/>
      <c r="E21" s="73"/>
      <c r="F21" s="73"/>
    </row>
    <row r="22" spans="1:7" ht="15" customHeight="1" x14ac:dyDescent="0.25">
      <c r="A22" s="8"/>
      <c r="B22" s="8"/>
      <c r="C22" s="50"/>
      <c r="D22" s="73"/>
      <c r="E22" s="73"/>
      <c r="F22" s="73"/>
    </row>
    <row r="23" spans="1:7" x14ac:dyDescent="0.25">
      <c r="D23" s="22"/>
      <c r="E23" s="6"/>
      <c r="F23" s="82"/>
      <c r="G23" s="81"/>
    </row>
    <row r="24" spans="1:7" s="13" customFormat="1" ht="18" customHeight="1" x14ac:dyDescent="0.3">
      <c r="A24" s="80" t="s">
        <v>25</v>
      </c>
      <c r="B24" s="81"/>
      <c r="C24" s="81"/>
      <c r="D24" s="81"/>
      <c r="E24" s="81"/>
      <c r="F24" s="81"/>
      <c r="G24" s="81"/>
    </row>
    <row r="25" spans="1:7" s="13" customFormat="1" ht="18" customHeight="1" x14ac:dyDescent="0.3">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E22"/>
  <sheetViews>
    <sheetView view="pageBreakPreview" topLeftCell="A10" zoomScaleNormal="100" zoomScaleSheetLayoutView="100" workbookViewId="0">
      <selection activeCell="B16" sqref="B16:D16"/>
    </sheetView>
  </sheetViews>
  <sheetFormatPr defaultRowHeight="15" x14ac:dyDescent="0.25"/>
  <cols>
    <col min="1" max="1" width="8" customWidth="1"/>
    <col min="2" max="2" width="15.85546875" style="16" customWidth="1"/>
    <col min="3" max="3" width="8.85546875" customWidth="1"/>
    <col min="4" max="4" width="4.85546875" customWidth="1"/>
    <col min="5" max="5" width="62.42578125" customWidth="1"/>
  </cols>
  <sheetData>
    <row r="1" spans="1:5" ht="16.5" customHeight="1" x14ac:dyDescent="0.25">
      <c r="A1" s="127" t="s">
        <v>26</v>
      </c>
      <c r="B1" s="114"/>
      <c r="C1" s="115"/>
      <c r="D1" s="115"/>
      <c r="E1" s="115"/>
    </row>
    <row r="2" spans="1:5" ht="35.1" customHeight="1" x14ac:dyDescent="0.25">
      <c r="A2" s="1">
        <v>1</v>
      </c>
      <c r="B2" s="116" t="s">
        <v>27</v>
      </c>
      <c r="C2" s="117"/>
      <c r="D2" s="118"/>
      <c r="E2" s="3"/>
    </row>
    <row r="3" spans="1:5" s="16" customFormat="1" ht="15" customHeight="1" x14ac:dyDescent="0.25">
      <c r="A3" s="55" t="s">
        <v>28</v>
      </c>
      <c r="B3" s="119" t="s">
        <v>29</v>
      </c>
      <c r="C3" s="117"/>
      <c r="D3" s="118"/>
      <c r="E3" s="30" t="str">
        <f>'Compare-5'!C3</f>
        <v xml:space="preserve">Electric cabling and maintenance work in Sahelion ki Bari , Udaipur  </v>
      </c>
    </row>
    <row r="4" spans="1:5" ht="15" customHeight="1" x14ac:dyDescent="0.25">
      <c r="A4" s="4"/>
      <c r="B4" s="128" t="str">
        <f>'Compare-1'!B4</f>
        <v>27/2024-25</v>
      </c>
      <c r="C4" s="117"/>
      <c r="D4" s="118"/>
      <c r="E4" s="21"/>
    </row>
    <row r="5" spans="1:5" ht="15" customHeight="1" x14ac:dyDescent="0.25">
      <c r="A5" s="1">
        <v>3</v>
      </c>
      <c r="B5" s="119" t="s">
        <v>31</v>
      </c>
      <c r="C5" s="117"/>
      <c r="D5" s="118"/>
      <c r="E5" s="3"/>
    </row>
    <row r="6" spans="1:5" ht="15" customHeight="1" x14ac:dyDescent="0.25">
      <c r="A6" s="1"/>
      <c r="B6" s="129" t="s">
        <v>32</v>
      </c>
      <c r="C6" s="117"/>
      <c r="D6" s="118"/>
      <c r="E6" s="3">
        <f>'Compare-5'!C5</f>
        <v>641694</v>
      </c>
    </row>
    <row r="7" spans="1:5" ht="50.45" customHeight="1" x14ac:dyDescent="0.25">
      <c r="A7" s="1">
        <v>4</v>
      </c>
      <c r="B7" s="119" t="s">
        <v>33</v>
      </c>
      <c r="C7" s="117"/>
      <c r="D7" s="118"/>
      <c r="E7" s="3"/>
    </row>
    <row r="8" spans="1:5" ht="35.1" customHeight="1" x14ac:dyDescent="0.25">
      <c r="A8" s="1">
        <v>5</v>
      </c>
      <c r="B8" s="116" t="s">
        <v>15</v>
      </c>
      <c r="C8" s="117"/>
      <c r="D8" s="118"/>
      <c r="E8" s="20">
        <f>'Compare-5'!F4</f>
        <v>45728</v>
      </c>
    </row>
    <row r="9" spans="1:5" ht="34.9" customHeight="1" x14ac:dyDescent="0.25">
      <c r="A9" s="1">
        <v>6</v>
      </c>
      <c r="B9" s="116" t="s">
        <v>34</v>
      </c>
      <c r="C9" s="117"/>
      <c r="D9" s="118"/>
      <c r="E9" s="20">
        <f>'Compare-5'!G10</f>
        <v>45740</v>
      </c>
    </row>
    <row r="10" spans="1:5" ht="35.1" customHeight="1" x14ac:dyDescent="0.25">
      <c r="A10" s="1">
        <v>7</v>
      </c>
      <c r="B10" s="116" t="s">
        <v>35</v>
      </c>
      <c r="C10" s="117"/>
      <c r="D10" s="118"/>
      <c r="E10" s="5">
        <f>'Compare-5'!G7</f>
        <v>4</v>
      </c>
    </row>
    <row r="11" spans="1:5" ht="34.9" customHeight="1" x14ac:dyDescent="0.25">
      <c r="A11" s="1">
        <v>8</v>
      </c>
      <c r="B11" s="116" t="s">
        <v>36</v>
      </c>
      <c r="C11" s="117"/>
      <c r="D11" s="118"/>
      <c r="E11" s="5">
        <f>'Compare-5'!G8</f>
        <v>4</v>
      </c>
    </row>
    <row r="12" spans="1:5" ht="34.9" customHeight="1" x14ac:dyDescent="0.25">
      <c r="A12" s="1">
        <v>9</v>
      </c>
      <c r="B12" s="119" t="s">
        <v>37</v>
      </c>
      <c r="C12" s="117"/>
      <c r="D12" s="118"/>
      <c r="E12" s="2" t="s">
        <v>38</v>
      </c>
    </row>
    <row r="13" spans="1:5" ht="35.1" customHeight="1" x14ac:dyDescent="0.25">
      <c r="A13" s="1">
        <v>10</v>
      </c>
      <c r="B13" s="116" t="s">
        <v>39</v>
      </c>
      <c r="C13" s="117"/>
      <c r="D13" s="118"/>
      <c r="E13" s="37" t="s">
        <v>9</v>
      </c>
    </row>
    <row r="14" spans="1:5" ht="40.5" customHeight="1" x14ac:dyDescent="0.25">
      <c r="A14" s="55" t="s">
        <v>40</v>
      </c>
      <c r="B14" s="120" t="s">
        <v>41</v>
      </c>
      <c r="C14" s="121"/>
      <c r="D14" s="121"/>
      <c r="E14" s="38" t="str">
        <f>_xlfn.CONCAT(TEXT(ROUND([0]!percentile_item5,4), "#,##0.00"), " % ", [0]!Above_Below_item5, ". No Condition.")</f>
        <v>2.00 % BELOW. No Condition.</v>
      </c>
    </row>
    <row r="15" spans="1:5" ht="44.25" customHeight="1" x14ac:dyDescent="0.25">
      <c r="A15" s="55" t="s">
        <v>42</v>
      </c>
      <c r="B15" s="119" t="s">
        <v>43</v>
      </c>
      <c r="C15" s="117"/>
      <c r="D15" s="118"/>
      <c r="E15" s="33" t="s">
        <v>44</v>
      </c>
    </row>
    <row r="16" spans="1:5" ht="35.1" customHeight="1" x14ac:dyDescent="0.25">
      <c r="A16" s="1">
        <v>13</v>
      </c>
      <c r="B16" s="116" t="s">
        <v>45</v>
      </c>
      <c r="C16" s="117"/>
      <c r="D16" s="118"/>
      <c r="E16" s="15" t="str">
        <f>[0]!Lowest_bidder_item5</f>
        <v>M/s. Vikas Enterprises, Udaipur</v>
      </c>
    </row>
    <row r="17" spans="1:5" ht="52.15" customHeight="1" x14ac:dyDescent="0.25">
      <c r="A17" s="56" t="s">
        <v>46</v>
      </c>
      <c r="B17" s="125" t="s">
        <v>47</v>
      </c>
      <c r="C17" s="121"/>
      <c r="D17" s="126"/>
      <c r="E17" s="2" t="s">
        <v>48</v>
      </c>
    </row>
    <row r="18" spans="1:5" x14ac:dyDescent="0.25">
      <c r="A18" s="35">
        <v>15</v>
      </c>
      <c r="B18" s="122" t="s">
        <v>49</v>
      </c>
      <c r="C18" s="123"/>
      <c r="D18" s="124"/>
      <c r="E18" s="31" t="s">
        <v>50</v>
      </c>
    </row>
    <row r="19" spans="1:5" x14ac:dyDescent="0.25">
      <c r="A19" s="36"/>
      <c r="B19" s="107" t="s">
        <v>51</v>
      </c>
      <c r="C19" s="108"/>
      <c r="D19" s="109"/>
      <c r="E19" s="32">
        <f>'Compare-5'!G10+20</f>
        <v>45760</v>
      </c>
    </row>
    <row r="20" spans="1:5" x14ac:dyDescent="0.25">
      <c r="A20" s="34">
        <v>16</v>
      </c>
      <c r="B20" s="110" t="s">
        <v>52</v>
      </c>
      <c r="C20" s="111"/>
      <c r="D20" s="112"/>
      <c r="E20" s="2" t="s">
        <v>53</v>
      </c>
    </row>
    <row r="21" spans="1:5" ht="35.1" customHeight="1" x14ac:dyDescent="0.25">
      <c r="A21" s="17"/>
      <c r="B21" s="18"/>
      <c r="C21" s="18"/>
      <c r="D21" s="18"/>
      <c r="E21" s="18"/>
    </row>
    <row r="22" spans="1:5" ht="15" customHeight="1" x14ac:dyDescent="0.25">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I41"/>
  <sheetViews>
    <sheetView view="pageBreakPreview" topLeftCell="A7" zoomScaleNormal="100" zoomScaleSheetLayoutView="100" workbookViewId="0">
      <selection activeCell="A16" sqref="A16:I16"/>
    </sheetView>
  </sheetViews>
  <sheetFormatPr defaultColWidth="8.85546875" defaultRowHeight="15" x14ac:dyDescent="0.25"/>
  <cols>
    <col min="1" max="2" width="8.85546875" style="40" customWidth="1"/>
    <col min="3" max="5" width="10.28515625" style="40" bestFit="1" customWidth="1"/>
    <col min="6" max="6" width="8.85546875" style="40" customWidth="1"/>
    <col min="7" max="16384" width="8.85546875" style="40"/>
  </cols>
  <sheetData>
    <row r="1" spans="1:9" x14ac:dyDescent="0.25">
      <c r="A1" s="132" t="s">
        <v>54</v>
      </c>
      <c r="B1" s="131"/>
      <c r="C1" s="131"/>
      <c r="D1" s="131"/>
      <c r="E1" s="131"/>
      <c r="F1" s="131"/>
      <c r="G1" s="131"/>
      <c r="H1" s="131"/>
      <c r="I1" s="131"/>
    </row>
    <row r="2" spans="1:9" x14ac:dyDescent="0.25">
      <c r="A2" s="39"/>
      <c r="B2" s="39"/>
      <c r="C2" s="39"/>
      <c r="D2" s="39"/>
      <c r="E2" s="39"/>
      <c r="F2" s="39"/>
      <c r="G2" s="39"/>
      <c r="H2" s="41" t="s">
        <v>55</v>
      </c>
      <c r="I2" s="39"/>
    </row>
    <row r="3" spans="1:9" x14ac:dyDescent="0.25">
      <c r="A3" s="42" t="s">
        <v>56</v>
      </c>
      <c r="B3" s="39"/>
      <c r="C3" s="39"/>
      <c r="D3" s="39"/>
      <c r="E3" s="39"/>
      <c r="F3" s="39"/>
      <c r="G3" s="42" t="s">
        <v>57</v>
      </c>
      <c r="H3" s="42"/>
      <c r="I3" s="39"/>
    </row>
    <row r="4" spans="1:9" x14ac:dyDescent="0.25">
      <c r="A4" s="133" t="s">
        <v>94</v>
      </c>
      <c r="B4" s="131"/>
      <c r="C4" s="131"/>
      <c r="D4" s="131"/>
      <c r="E4" s="131"/>
      <c r="F4" s="131"/>
      <c r="G4" s="131"/>
      <c r="H4" s="131"/>
      <c r="I4" s="131"/>
    </row>
    <row r="5" spans="1:9" x14ac:dyDescent="0.25">
      <c r="A5" s="53" t="s">
        <v>93</v>
      </c>
    </row>
    <row r="6" spans="1:9" x14ac:dyDescent="0.25">
      <c r="A6" s="43" t="str">
        <f>[0]!Lowest_bidder_item5</f>
        <v>M/s. Vikas Enterprises, Udaipur</v>
      </c>
    </row>
    <row r="7" spans="1:9" x14ac:dyDescent="0.25">
      <c r="A7" s="43"/>
    </row>
    <row r="9" spans="1:9" ht="31.15" customHeight="1" x14ac:dyDescent="0.25">
      <c r="A9" s="44" t="s">
        <v>58</v>
      </c>
      <c r="B9" s="44"/>
      <c r="C9" s="134" t="str">
        <f>'Compare-5'!C3</f>
        <v xml:space="preserve">Electric cabling and maintenance work in Sahelion ki Bari , Udaipur  </v>
      </c>
      <c r="D9" s="131"/>
      <c r="E9" s="131"/>
      <c r="F9" s="131"/>
      <c r="G9" s="131"/>
      <c r="H9" s="131"/>
      <c r="I9" s="131"/>
    </row>
    <row r="10" spans="1:9" x14ac:dyDescent="0.25">
      <c r="A10" s="40" t="s">
        <v>59</v>
      </c>
      <c r="C10" s="40" t="str">
        <f>'Compare-5'!B4</f>
        <v>27/2024-25</v>
      </c>
      <c r="E10" s="40" t="str">
        <f>'Compare-5'!G4</f>
        <v>ITEM-5</v>
      </c>
    </row>
    <row r="11" spans="1:9" x14ac:dyDescent="0.25">
      <c r="A11" s="40" t="s">
        <v>60</v>
      </c>
      <c r="C11" s="45">
        <f>'Compare-5'!F4</f>
        <v>45728</v>
      </c>
    </row>
    <row r="12" spans="1:9" x14ac:dyDescent="0.25">
      <c r="A12" s="40" t="s">
        <v>61</v>
      </c>
      <c r="D12" s="45">
        <f>'Compare-5'!G10</f>
        <v>45740</v>
      </c>
    </row>
    <row r="13" spans="1:9" x14ac:dyDescent="0.25">
      <c r="A13" s="40" t="s">
        <v>62</v>
      </c>
      <c r="E13" s="45">
        <f>D12</f>
        <v>45740</v>
      </c>
    </row>
    <row r="14" spans="1:9" x14ac:dyDescent="0.25">
      <c r="A14" s="40" t="s">
        <v>63</v>
      </c>
    </row>
    <row r="15" spans="1:9" ht="64.900000000000006" customHeight="1" x14ac:dyDescent="0.25">
      <c r="A15" s="135" t="e">
        <f ca="1">_xlfn.CONCAT("       Your tender for the above work has been accepted on behalf of the Governor of Rajasthan @  ",ROUND([0]!percentile_item5,2), "%  ",[0]!Above_Below_item5," amounting to Rs.  ",ROUND([0]!Bid_Amount_item5,0),"/-- In words Rupees. ",NumToWords([0]!Bid_Amount_item5),".")</f>
        <v>#NAME?</v>
      </c>
      <c r="B15" s="131"/>
      <c r="C15" s="131"/>
      <c r="D15" s="131"/>
      <c r="E15" s="131"/>
      <c r="F15" s="131"/>
      <c r="G15" s="131"/>
      <c r="H15" s="131"/>
      <c r="I15" s="131"/>
    </row>
    <row r="16" spans="1:9" ht="66" customHeight="1" x14ac:dyDescent="0.25">
      <c r="A16" s="135" t="s">
        <v>64</v>
      </c>
      <c r="B16" s="131"/>
      <c r="C16" s="131"/>
      <c r="D16" s="131"/>
      <c r="E16" s="131"/>
      <c r="F16" s="131"/>
      <c r="G16" s="131"/>
      <c r="H16" s="131"/>
      <c r="I16" s="131"/>
    </row>
    <row r="18" spans="1:9" x14ac:dyDescent="0.25">
      <c r="A18" s="40" t="s">
        <v>65</v>
      </c>
    </row>
    <row r="19" spans="1:9" x14ac:dyDescent="0.25">
      <c r="A19" s="40" t="s">
        <v>66</v>
      </c>
      <c r="F19" s="130">
        <v>45741</v>
      </c>
      <c r="G19" s="131"/>
    </row>
    <row r="20" spans="1:9" x14ac:dyDescent="0.25">
      <c r="A20" s="40" t="s">
        <v>67</v>
      </c>
      <c r="F20" s="130">
        <v>46015.23</v>
      </c>
      <c r="G20" s="131"/>
    </row>
    <row r="21" spans="1:9" x14ac:dyDescent="0.25">
      <c r="A21" s="40" t="s">
        <v>68</v>
      </c>
    </row>
    <row r="22" spans="1:9" x14ac:dyDescent="0.25">
      <c r="A22" s="40" t="s">
        <v>69</v>
      </c>
    </row>
    <row r="23" spans="1:9" x14ac:dyDescent="0.25">
      <c r="A23" s="40" t="s">
        <v>70</v>
      </c>
    </row>
    <row r="25" spans="1:9" x14ac:dyDescent="0.25">
      <c r="A25" s="40" t="s">
        <v>71</v>
      </c>
    </row>
    <row r="27" spans="1:9" x14ac:dyDescent="0.25">
      <c r="A27" s="40" t="s">
        <v>72</v>
      </c>
    </row>
    <row r="28" spans="1:9" x14ac:dyDescent="0.25">
      <c r="A28" s="40" t="s">
        <v>73</v>
      </c>
    </row>
    <row r="29" spans="1:9" x14ac:dyDescent="0.25">
      <c r="A29" s="42" t="s">
        <v>56</v>
      </c>
      <c r="B29" s="39"/>
      <c r="C29" s="39"/>
      <c r="D29" s="39"/>
      <c r="E29" s="39"/>
      <c r="F29" s="39"/>
      <c r="G29" s="42" t="s">
        <v>57</v>
      </c>
      <c r="H29" s="42"/>
      <c r="I29" s="39"/>
    </row>
    <row r="30" spans="1:9" x14ac:dyDescent="0.25">
      <c r="A30" s="40" t="s">
        <v>74</v>
      </c>
    </row>
    <row r="31" spans="1:9" x14ac:dyDescent="0.25">
      <c r="A31" s="40" t="s">
        <v>75</v>
      </c>
    </row>
    <row r="32" spans="1:9" x14ac:dyDescent="0.25">
      <c r="A32" s="40" t="s">
        <v>76</v>
      </c>
    </row>
    <row r="33" spans="1:1" x14ac:dyDescent="0.25">
      <c r="A33" s="40" t="s">
        <v>77</v>
      </c>
    </row>
    <row r="34" spans="1:1" x14ac:dyDescent="0.25">
      <c r="A34" s="40" t="s">
        <v>78</v>
      </c>
    </row>
    <row r="35" spans="1:1" x14ac:dyDescent="0.25">
      <c r="A35" s="40" t="s">
        <v>79</v>
      </c>
    </row>
    <row r="36" spans="1:1" x14ac:dyDescent="0.25">
      <c r="A36" s="40" t="s">
        <v>80</v>
      </c>
    </row>
    <row r="37" spans="1:1" x14ac:dyDescent="0.25">
      <c r="A37" s="40" t="s">
        <v>81</v>
      </c>
    </row>
    <row r="38" spans="1:1" x14ac:dyDescent="0.25">
      <c r="A38" s="40" t="s">
        <v>82</v>
      </c>
    </row>
    <row r="40" spans="1:1" x14ac:dyDescent="0.25">
      <c r="A40" s="40" t="s">
        <v>83</v>
      </c>
    </row>
    <row r="41" spans="1:1" x14ac:dyDescent="0.25">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I28"/>
  <sheetViews>
    <sheetView view="pageBreakPreview" zoomScaleNormal="100" zoomScaleSheetLayoutView="100" workbookViewId="0">
      <selection activeCell="D16" sqref="D16"/>
    </sheetView>
  </sheetViews>
  <sheetFormatPr defaultColWidth="8.85546875" defaultRowHeight="15" x14ac:dyDescent="0.25"/>
  <cols>
    <col min="1" max="2" width="8.85546875" style="40" customWidth="1"/>
    <col min="3" max="5" width="11.28515625" style="40" bestFit="1" customWidth="1"/>
    <col min="6" max="6" width="8.85546875" style="40" customWidth="1"/>
    <col min="7" max="16384" width="8.85546875" style="40"/>
  </cols>
  <sheetData>
    <row r="1" spans="1:9" ht="15.75" x14ac:dyDescent="0.25">
      <c r="A1" s="138" t="s">
        <v>54</v>
      </c>
      <c r="B1" s="137"/>
      <c r="C1" s="137"/>
      <c r="D1" s="137"/>
      <c r="E1" s="137"/>
      <c r="F1" s="137"/>
      <c r="G1" s="137"/>
      <c r="H1" s="137"/>
      <c r="I1" s="137"/>
    </row>
    <row r="2" spans="1:9" x14ac:dyDescent="0.25">
      <c r="A2" s="42" t="s">
        <v>56</v>
      </c>
      <c r="B2" s="39"/>
      <c r="C2" s="39"/>
      <c r="D2" s="39"/>
      <c r="E2" s="39"/>
      <c r="F2" s="39"/>
      <c r="G2" s="42" t="s">
        <v>57</v>
      </c>
      <c r="H2" s="42"/>
      <c r="I2" s="39"/>
    </row>
    <row r="3" spans="1:9" ht="18.75" x14ac:dyDescent="0.3">
      <c r="A3" s="139" t="s">
        <v>85</v>
      </c>
      <c r="B3" s="140"/>
      <c r="C3" s="140"/>
      <c r="D3" s="140"/>
      <c r="E3" s="140"/>
      <c r="F3" s="140"/>
      <c r="G3" s="140"/>
      <c r="H3" s="140"/>
      <c r="I3" s="140"/>
    </row>
    <row r="4" spans="1:9" x14ac:dyDescent="0.25">
      <c r="A4" s="53" t="s">
        <v>93</v>
      </c>
      <c r="B4" s="40" t="str">
        <f>'Compare-1'!B4</f>
        <v>27/2024-25</v>
      </c>
    </row>
    <row r="5" spans="1:9" x14ac:dyDescent="0.25">
      <c r="A5" s="43" t="str">
        <f>[0]!Lowest_bidder_item5</f>
        <v>M/s. Vikas Enterprises, Udaipur</v>
      </c>
    </row>
    <row r="6" spans="1:9" x14ac:dyDescent="0.25">
      <c r="A6" s="43"/>
    </row>
    <row r="8" spans="1:9" s="47" customFormat="1" ht="31.15" customHeight="1" x14ac:dyDescent="0.25">
      <c r="A8" s="51" t="s">
        <v>89</v>
      </c>
      <c r="B8" s="46"/>
      <c r="C8" s="141" t="s">
        <v>3</v>
      </c>
      <c r="D8" s="137"/>
      <c r="E8" s="137"/>
      <c r="F8" s="137"/>
      <c r="G8" s="137"/>
      <c r="H8" s="137"/>
      <c r="I8" s="137"/>
    </row>
    <row r="9" spans="1:9" s="47" customFormat="1" ht="15.6" customHeight="1" x14ac:dyDescent="0.25">
      <c r="A9" s="47" t="s">
        <v>59</v>
      </c>
      <c r="C9" s="47" t="str">
        <f>'Compare-5'!B4</f>
        <v>27/2024-25</v>
      </c>
      <c r="E9" s="52" t="str">
        <f>'Compare-5'!G4</f>
        <v>ITEM-5</v>
      </c>
    </row>
    <row r="10" spans="1:9" s="47" customFormat="1" ht="15.6" customHeight="1" x14ac:dyDescent="0.25">
      <c r="A10" s="47" t="s">
        <v>60</v>
      </c>
      <c r="C10" s="48">
        <f>'Compare-5'!F4</f>
        <v>45728</v>
      </c>
    </row>
    <row r="11" spans="1:9" s="47" customFormat="1" ht="15.6" customHeight="1" x14ac:dyDescent="0.25">
      <c r="A11" s="47" t="s">
        <v>61</v>
      </c>
      <c r="D11" s="48">
        <f>'Compare-5'!G10</f>
        <v>45740</v>
      </c>
    </row>
    <row r="12" spans="1:9" s="47" customFormat="1" ht="15.6" customHeight="1" x14ac:dyDescent="0.25">
      <c r="A12" s="47" t="s">
        <v>62</v>
      </c>
      <c r="E12" s="48">
        <f>D11</f>
        <v>45740</v>
      </c>
    </row>
    <row r="13" spans="1:9" s="47" customFormat="1" ht="15.6" customHeight="1" x14ac:dyDescent="0.25">
      <c r="A13" s="47" t="s">
        <v>63</v>
      </c>
    </row>
    <row r="14" spans="1:9" s="47" customFormat="1" ht="74.45" customHeight="1" x14ac:dyDescent="0.25">
      <c r="A14" s="136" t="e">
        <f ca="1">_xlfn.CONCAT("       Your tender for the above work has been accepted on behalf of the Governor of Rajasthan @  ",ROUND([0]!percentile_item5,2), "%  ",[0]!Above_Below_item5," amounting to Rs.  ",ROUND([0]!Bid_Amount_item5,0),"/-- In words Rupees. ",NumToWords([0]!Bid_Amount_item5),"by the undersingned Executive Engineer PWD Electric Divistion Udaipur.")</f>
        <v>#NAME?</v>
      </c>
      <c r="B14" s="137"/>
      <c r="C14" s="137"/>
      <c r="D14" s="137"/>
      <c r="E14" s="137"/>
      <c r="F14" s="137"/>
      <c r="G14" s="137"/>
      <c r="H14" s="137"/>
      <c r="I14" s="137"/>
    </row>
    <row r="15" spans="1:9" s="47" customFormat="1" ht="109.9" customHeight="1" x14ac:dyDescent="0.25">
      <c r="A15" s="136" t="s">
        <v>86</v>
      </c>
      <c r="B15" s="137"/>
      <c r="C15" s="137"/>
      <c r="D15" s="137"/>
      <c r="E15" s="137"/>
      <c r="F15" s="137"/>
      <c r="G15" s="137"/>
      <c r="H15" s="137"/>
      <c r="I15" s="137"/>
    </row>
    <row r="16" spans="1:9" s="47" customFormat="1" ht="15.6" customHeight="1" x14ac:dyDescent="0.25">
      <c r="A16" s="47" t="s">
        <v>87</v>
      </c>
    </row>
    <row r="17" spans="1:9" s="47" customFormat="1" ht="15.6" customHeight="1" x14ac:dyDescent="0.25"/>
    <row r="18" spans="1:9" s="47" customFormat="1" ht="15.6" customHeight="1" x14ac:dyDescent="0.25">
      <c r="A18" s="47" t="s">
        <v>71</v>
      </c>
    </row>
    <row r="19" spans="1:9" s="47" customFormat="1" ht="15.6" customHeight="1" x14ac:dyDescent="0.25"/>
    <row r="20" spans="1:9" s="47" customFormat="1" ht="15.6" customHeight="1" x14ac:dyDescent="0.25">
      <c r="A20" s="47" t="s">
        <v>72</v>
      </c>
    </row>
    <row r="21" spans="1:9" s="47" customFormat="1" ht="15.6" customHeight="1" x14ac:dyDescent="0.25">
      <c r="A21" s="47" t="s">
        <v>73</v>
      </c>
    </row>
    <row r="22" spans="1:9" s="47" customFormat="1" ht="15.6" customHeight="1" x14ac:dyDescent="0.25">
      <c r="A22" s="49" t="s">
        <v>56</v>
      </c>
      <c r="B22" s="49"/>
      <c r="C22" s="49"/>
      <c r="D22" s="49"/>
      <c r="E22" s="49"/>
      <c r="F22" s="49"/>
      <c r="G22" s="49" t="s">
        <v>57</v>
      </c>
      <c r="H22" s="49"/>
      <c r="I22" s="49"/>
    </row>
    <row r="23" spans="1:9" s="47" customFormat="1" ht="15.6" customHeight="1" x14ac:dyDescent="0.25">
      <c r="A23" s="47" t="s">
        <v>74</v>
      </c>
    </row>
    <row r="24" spans="1:9" s="47" customFormat="1" ht="15.6" customHeight="1" x14ac:dyDescent="0.25">
      <c r="A24" s="47" t="s">
        <v>88</v>
      </c>
    </row>
    <row r="25" spans="1:9" s="47" customFormat="1" ht="15.6" customHeight="1" x14ac:dyDescent="0.25">
      <c r="A25" s="47" t="s">
        <v>90</v>
      </c>
    </row>
    <row r="26" spans="1:9" s="47" customFormat="1" ht="15.6" customHeight="1" x14ac:dyDescent="0.25"/>
    <row r="27" spans="1:9" x14ac:dyDescent="0.25">
      <c r="A27" s="40" t="s">
        <v>83</v>
      </c>
    </row>
    <row r="28" spans="1:9" x14ac:dyDescent="0.25">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G25"/>
  <sheetViews>
    <sheetView view="pageBreakPreview" zoomScaleNormal="100" zoomScaleSheetLayoutView="100" workbookViewId="0">
      <selection activeCell="H18" sqref="H18"/>
    </sheetView>
  </sheetViews>
  <sheetFormatPr defaultColWidth="9.140625" defaultRowHeight="15" x14ac:dyDescent="0.25"/>
  <cols>
    <col min="1" max="1" width="9.140625" style="6" customWidth="1"/>
    <col min="2" max="2" width="49.28515625" style="6" customWidth="1"/>
    <col min="3" max="3" width="12.7109375" style="6" customWidth="1"/>
    <col min="4" max="4" width="9" style="6" customWidth="1"/>
    <col min="5" max="5" width="6.7109375" style="22" customWidth="1"/>
    <col min="6" max="6" width="26" style="6" customWidth="1"/>
    <col min="7" max="7" width="14.28515625" style="6" customWidth="1"/>
    <col min="8" max="16384" width="9.140625" style="6"/>
  </cols>
  <sheetData>
    <row r="1" spans="1:7" x14ac:dyDescent="0.25">
      <c r="A1" s="102" t="s">
        <v>0</v>
      </c>
      <c r="B1" s="103"/>
      <c r="C1" s="103"/>
      <c r="D1" s="103"/>
      <c r="E1" s="103"/>
      <c r="F1" s="103"/>
      <c r="G1" s="103"/>
    </row>
    <row r="2" spans="1:7" ht="15.6" customHeight="1" x14ac:dyDescent="0.25">
      <c r="A2" s="104" t="s">
        <v>1</v>
      </c>
      <c r="B2" s="103"/>
      <c r="C2" s="103"/>
      <c r="D2" s="103"/>
      <c r="E2" s="103"/>
      <c r="F2" s="103"/>
      <c r="G2" s="103"/>
    </row>
    <row r="3" spans="1:7" ht="31.15" customHeight="1" x14ac:dyDescent="0.25">
      <c r="A3" s="7" t="s">
        <v>2</v>
      </c>
      <c r="C3" s="106" t="s">
        <v>3</v>
      </c>
      <c r="D3" s="106"/>
      <c r="E3" s="106"/>
      <c r="F3" s="106"/>
      <c r="G3" s="106"/>
    </row>
    <row r="4" spans="1:7" x14ac:dyDescent="0.25">
      <c r="A4" s="58" t="s">
        <v>4</v>
      </c>
      <c r="B4" s="77" t="str">
        <f>'Compare-1'!B4</f>
        <v>27/2024-25</v>
      </c>
      <c r="C4" s="142" t="s">
        <v>5</v>
      </c>
      <c r="D4" s="143"/>
      <c r="E4" s="143"/>
      <c r="F4" s="78">
        <f>'Compare-1'!F4</f>
        <v>45728</v>
      </c>
      <c r="G4" s="75" t="s">
        <v>108</v>
      </c>
    </row>
    <row r="5" spans="1:7" s="9" customFormat="1" x14ac:dyDescent="0.2">
      <c r="A5" s="62" t="s">
        <v>92</v>
      </c>
      <c r="B5" s="62"/>
      <c r="C5" s="144">
        <f>C12</f>
        <v>641694</v>
      </c>
      <c r="D5" s="143"/>
      <c r="E5" s="63"/>
      <c r="F5" s="64" t="s">
        <v>98</v>
      </c>
      <c r="G5" s="65">
        <v>13000</v>
      </c>
    </row>
    <row r="6" spans="1:7" s="9" customFormat="1" x14ac:dyDescent="0.2">
      <c r="A6" s="62" t="s">
        <v>7</v>
      </c>
      <c r="B6" s="62"/>
      <c r="C6" s="85">
        <f>ROUNDUP(F17,0)</f>
        <v>635278</v>
      </c>
      <c r="D6" s="86"/>
      <c r="E6" s="66"/>
      <c r="F6" s="64" t="s">
        <v>91</v>
      </c>
      <c r="G6" s="67">
        <v>9</v>
      </c>
    </row>
    <row r="7" spans="1:7" s="9" customFormat="1" x14ac:dyDescent="0.2">
      <c r="A7" s="87" t="s">
        <v>8</v>
      </c>
      <c r="B7" s="84"/>
      <c r="C7" s="87" t="s">
        <v>9</v>
      </c>
      <c r="D7" s="84"/>
      <c r="E7" s="57"/>
      <c r="F7" s="68" t="s">
        <v>10</v>
      </c>
      <c r="G7" s="69">
        <v>4</v>
      </c>
    </row>
    <row r="8" spans="1:7" s="9" customFormat="1" x14ac:dyDescent="0.2">
      <c r="A8" s="87" t="s">
        <v>11</v>
      </c>
      <c r="B8" s="84"/>
      <c r="C8" s="57" t="s">
        <v>12</v>
      </c>
      <c r="D8" s="70"/>
      <c r="E8" s="57"/>
      <c r="F8" s="68" t="s">
        <v>13</v>
      </c>
      <c r="G8" s="64">
        <v>4</v>
      </c>
    </row>
    <row r="9" spans="1:7" s="9" customFormat="1" x14ac:dyDescent="0.2">
      <c r="A9" s="87" t="s">
        <v>14</v>
      </c>
      <c r="B9" s="84"/>
      <c r="C9" s="88">
        <f>C6</f>
        <v>635278</v>
      </c>
      <c r="D9" s="86"/>
      <c r="E9" s="71"/>
      <c r="F9" s="68" t="s">
        <v>15</v>
      </c>
      <c r="G9" s="76">
        <f>F4</f>
        <v>45728</v>
      </c>
    </row>
    <row r="10" spans="1:7" s="9" customFormat="1" x14ac:dyDescent="0.2">
      <c r="A10" s="87" t="s">
        <v>16</v>
      </c>
      <c r="B10" s="84"/>
      <c r="C10" s="87" t="s">
        <v>17</v>
      </c>
      <c r="D10" s="84"/>
      <c r="E10" s="84"/>
      <c r="F10" s="68" t="s">
        <v>18</v>
      </c>
      <c r="G10" s="76">
        <f>'Compare-1'!G8</f>
        <v>45740</v>
      </c>
    </row>
    <row r="11" spans="1:7" ht="27.75" customHeight="1" x14ac:dyDescent="0.25">
      <c r="A11" s="10" t="s">
        <v>19</v>
      </c>
      <c r="B11" s="11" t="s">
        <v>20</v>
      </c>
      <c r="C11" s="11" t="s">
        <v>96</v>
      </c>
      <c r="D11" s="89" t="s">
        <v>21</v>
      </c>
      <c r="E11" s="90"/>
      <c r="F11" s="101" t="s">
        <v>97</v>
      </c>
      <c r="G11" s="98"/>
    </row>
    <row r="12" spans="1:7" ht="22.9" customHeight="1" x14ac:dyDescent="0.25">
      <c r="A12" s="19">
        <v>1</v>
      </c>
      <c r="B12" s="12" t="s">
        <v>100</v>
      </c>
      <c r="C12" s="19">
        <v>641694</v>
      </c>
      <c r="D12" s="23">
        <v>0</v>
      </c>
      <c r="E12" s="29" t="s">
        <v>22</v>
      </c>
      <c r="F12" s="97">
        <f>IF(E12="below",ROUNDUP(C12*(1-D12/100),0),ROUNDUP(C12*(1+D12/100),0))</f>
        <v>641694</v>
      </c>
      <c r="G12" s="98"/>
    </row>
    <row r="13" spans="1:7" ht="18.600000000000001" customHeight="1" x14ac:dyDescent="0.25">
      <c r="A13" s="19">
        <v>2</v>
      </c>
      <c r="B13" s="12" t="s">
        <v>101</v>
      </c>
      <c r="C13" s="54">
        <f>$C$12</f>
        <v>641694</v>
      </c>
      <c r="D13" s="23">
        <v>1</v>
      </c>
      <c r="E13" s="29" t="s">
        <v>22</v>
      </c>
      <c r="F13" s="97">
        <f t="shared" ref="F13:F15" si="0">IF(E13="below",ROUNDUP(C13*(1-D13/100),0),ROUNDUP(C13*(1+D13/100),0))</f>
        <v>635278</v>
      </c>
      <c r="G13" s="98"/>
    </row>
    <row r="14" spans="1:7" ht="18.600000000000001" customHeight="1" x14ac:dyDescent="0.25">
      <c r="A14" s="19">
        <v>3</v>
      </c>
      <c r="B14" s="12" t="s">
        <v>102</v>
      </c>
      <c r="C14" s="54">
        <f>$C$12</f>
        <v>641694</v>
      </c>
      <c r="D14" s="23">
        <v>1</v>
      </c>
      <c r="E14" s="29" t="s">
        <v>22</v>
      </c>
      <c r="F14" s="97">
        <f t="shared" si="0"/>
        <v>635278</v>
      </c>
      <c r="G14" s="98"/>
    </row>
    <row r="15" spans="1:7" ht="21" customHeight="1" x14ac:dyDescent="0.25">
      <c r="A15" s="19">
        <v>4</v>
      </c>
      <c r="B15" s="12" t="s">
        <v>103</v>
      </c>
      <c r="C15" s="54">
        <f t="shared" ref="C15" si="1">$C$12</f>
        <v>641694</v>
      </c>
      <c r="D15" s="23">
        <v>0.1</v>
      </c>
      <c r="E15" s="29" t="s">
        <v>22</v>
      </c>
      <c r="F15" s="97">
        <f t="shared" si="0"/>
        <v>641053</v>
      </c>
      <c r="G15" s="98"/>
    </row>
    <row r="16" spans="1:7" ht="4.1500000000000004" customHeight="1" x14ac:dyDescent="0.25">
      <c r="D16" s="22"/>
      <c r="E16" s="6"/>
    </row>
    <row r="17" spans="1:7" ht="15" customHeight="1" thickBot="1" x14ac:dyDescent="0.3">
      <c r="A17" s="25" t="s">
        <v>23</v>
      </c>
      <c r="B17" s="26" t="str">
        <f>INDEX(B12:B15,MATCH(MIN(F12:F15),F12:F15,0))</f>
        <v>M/s. Powertech Engineer, Rajsamand</v>
      </c>
      <c r="C17" s="26"/>
      <c r="D17" s="27">
        <f>INDEX(D12:D15,MATCH(MIN(F12:F15),F12:F15,0))</f>
        <v>1</v>
      </c>
      <c r="E17" s="26" t="str">
        <f>INDEX(E12:E15,MATCH(MIN(F12:F15),F12:F15,0))</f>
        <v>BELOW</v>
      </c>
      <c r="F17" s="74">
        <f>ROUND(MIN(F12:F15),0)</f>
        <v>635278</v>
      </c>
    </row>
    <row r="18" spans="1:7" ht="57" customHeight="1" x14ac:dyDescent="0.25">
      <c r="A18" s="8"/>
      <c r="B18" s="8"/>
      <c r="C18" s="91" t="e">
        <f ca="1">_xlfn.CONCAT("The tender of the lowest bidder "," ", Lowest_bidder_item6," @ ",ROUND(percentile_item6,2),"%  ",Above_Below_item6," amounting to Rs.  ",ROUND(Bid_Amount_item6,0),"/-- In words Rupees. ",NumToWords(Bid_Amount_item6),".")</f>
        <v>#NAME?</v>
      </c>
      <c r="D18" s="92"/>
      <c r="E18" s="92"/>
      <c r="F18" s="93"/>
    </row>
    <row r="19" spans="1:7" ht="13.15" customHeight="1" x14ac:dyDescent="0.25">
      <c r="A19" s="8"/>
      <c r="B19" s="8"/>
      <c r="C19" s="28"/>
      <c r="D19" s="99"/>
      <c r="E19" s="81"/>
      <c r="F19" s="100"/>
    </row>
    <row r="20" spans="1:7" ht="15" customHeight="1" thickBot="1" x14ac:dyDescent="0.3">
      <c r="A20" s="8"/>
      <c r="B20" s="8"/>
      <c r="C20" s="94" t="s">
        <v>24</v>
      </c>
      <c r="D20" s="95"/>
      <c r="E20" s="95"/>
      <c r="F20" s="96"/>
    </row>
    <row r="21" spans="1:7" ht="15" customHeight="1" x14ac:dyDescent="0.25">
      <c r="A21" s="8"/>
      <c r="B21" s="8"/>
      <c r="C21" s="50"/>
      <c r="D21" s="73"/>
      <c r="E21" s="73"/>
      <c r="F21" s="73"/>
    </row>
    <row r="22" spans="1:7" ht="15" customHeight="1" x14ac:dyDescent="0.25">
      <c r="A22" s="8"/>
      <c r="B22" s="8"/>
      <c r="C22" s="50"/>
      <c r="D22" s="73"/>
      <c r="E22" s="73"/>
      <c r="F22" s="73"/>
    </row>
    <row r="23" spans="1:7" x14ac:dyDescent="0.25">
      <c r="D23" s="22"/>
      <c r="E23" s="6"/>
      <c r="F23" s="82"/>
      <c r="G23" s="81"/>
    </row>
    <row r="24" spans="1:7" s="13" customFormat="1" ht="18" customHeight="1" x14ac:dyDescent="0.3">
      <c r="A24" s="80" t="s">
        <v>25</v>
      </c>
      <c r="B24" s="81"/>
      <c r="C24" s="81"/>
      <c r="D24" s="81"/>
      <c r="E24" s="81"/>
      <c r="F24" s="81"/>
      <c r="G24" s="81"/>
    </row>
    <row r="25" spans="1:7" s="13" customFormat="1" ht="18" customHeight="1" x14ac:dyDescent="0.3">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E22"/>
  <sheetViews>
    <sheetView view="pageBreakPreview" topLeftCell="A13" zoomScaleNormal="100" zoomScaleSheetLayoutView="100" workbookViewId="0">
      <selection activeCell="B16" sqref="B16:D16"/>
    </sheetView>
  </sheetViews>
  <sheetFormatPr defaultRowHeight="15" x14ac:dyDescent="0.25"/>
  <cols>
    <col min="1" max="1" width="8" customWidth="1"/>
    <col min="2" max="2" width="15.85546875" style="16" customWidth="1"/>
    <col min="3" max="3" width="8.85546875" customWidth="1"/>
    <col min="4" max="4" width="4.85546875" customWidth="1"/>
    <col min="5" max="5" width="62.42578125" customWidth="1"/>
  </cols>
  <sheetData>
    <row r="1" spans="1:5" ht="16.5" customHeight="1" x14ac:dyDescent="0.25">
      <c r="A1" s="127" t="s">
        <v>26</v>
      </c>
      <c r="B1" s="114"/>
      <c r="C1" s="115"/>
      <c r="D1" s="115"/>
      <c r="E1" s="115"/>
    </row>
    <row r="2" spans="1:5" ht="35.1" customHeight="1" x14ac:dyDescent="0.25">
      <c r="A2" s="1">
        <v>1</v>
      </c>
      <c r="B2" s="116" t="s">
        <v>27</v>
      </c>
      <c r="C2" s="117"/>
      <c r="D2" s="118"/>
      <c r="E2" s="3"/>
    </row>
    <row r="3" spans="1:5" s="16" customFormat="1" ht="15" customHeight="1" x14ac:dyDescent="0.25">
      <c r="A3" s="55" t="s">
        <v>28</v>
      </c>
      <c r="B3" s="119" t="s">
        <v>29</v>
      </c>
      <c r="C3" s="117"/>
      <c r="D3" s="118"/>
      <c r="E3" s="30" t="str">
        <f>'Compare-6'!C3</f>
        <v xml:space="preserve">Electric cabling and maintenance work in Sahelion ki Bari , Udaipur  </v>
      </c>
    </row>
    <row r="4" spans="1:5" ht="15" customHeight="1" x14ac:dyDescent="0.25">
      <c r="A4" s="4"/>
      <c r="B4" s="128" t="str">
        <f>'Compare-1'!B4</f>
        <v>27/2024-25</v>
      </c>
      <c r="C4" s="117"/>
      <c r="D4" s="118"/>
      <c r="E4" s="21"/>
    </row>
    <row r="5" spans="1:5" ht="15" customHeight="1" x14ac:dyDescent="0.25">
      <c r="A5" s="1">
        <v>3</v>
      </c>
      <c r="B5" s="119" t="s">
        <v>31</v>
      </c>
      <c r="C5" s="117"/>
      <c r="D5" s="118"/>
      <c r="E5" s="3"/>
    </row>
    <row r="6" spans="1:5" ht="15" customHeight="1" x14ac:dyDescent="0.25">
      <c r="A6" s="1"/>
      <c r="B6" s="129" t="s">
        <v>32</v>
      </c>
      <c r="C6" s="117"/>
      <c r="D6" s="118"/>
      <c r="E6" s="3">
        <f>'Compare-6'!C5</f>
        <v>641694</v>
      </c>
    </row>
    <row r="7" spans="1:5" ht="50.45" customHeight="1" x14ac:dyDescent="0.25">
      <c r="A7" s="1">
        <v>4</v>
      </c>
      <c r="B7" s="119" t="s">
        <v>33</v>
      </c>
      <c r="C7" s="117"/>
      <c r="D7" s="118"/>
      <c r="E7" s="3"/>
    </row>
    <row r="8" spans="1:5" ht="35.1" customHeight="1" x14ac:dyDescent="0.25">
      <c r="A8" s="1">
        <v>5</v>
      </c>
      <c r="B8" s="116" t="s">
        <v>15</v>
      </c>
      <c r="C8" s="117"/>
      <c r="D8" s="118"/>
      <c r="E8" s="20">
        <f>'Compare-6'!F4</f>
        <v>45728</v>
      </c>
    </row>
    <row r="9" spans="1:5" ht="34.9" customHeight="1" x14ac:dyDescent="0.25">
      <c r="A9" s="1">
        <v>6</v>
      </c>
      <c r="B9" s="116" t="s">
        <v>34</v>
      </c>
      <c r="C9" s="117"/>
      <c r="D9" s="118"/>
      <c r="E9" s="20">
        <f>'Compare-6'!G10</f>
        <v>45740</v>
      </c>
    </row>
    <row r="10" spans="1:5" ht="35.1" customHeight="1" x14ac:dyDescent="0.25">
      <c r="A10" s="1">
        <v>7</v>
      </c>
      <c r="B10" s="116" t="s">
        <v>35</v>
      </c>
      <c r="C10" s="117"/>
      <c r="D10" s="118"/>
      <c r="E10" s="5">
        <f>'Compare-6'!G7</f>
        <v>4</v>
      </c>
    </row>
    <row r="11" spans="1:5" ht="34.9" customHeight="1" x14ac:dyDescent="0.25">
      <c r="A11" s="1">
        <v>8</v>
      </c>
      <c r="B11" s="116" t="s">
        <v>36</v>
      </c>
      <c r="C11" s="117"/>
      <c r="D11" s="118"/>
      <c r="E11" s="5">
        <f>'Compare-6'!G8</f>
        <v>4</v>
      </c>
    </row>
    <row r="12" spans="1:5" ht="34.9" customHeight="1" x14ac:dyDescent="0.25">
      <c r="A12" s="1">
        <v>9</v>
      </c>
      <c r="B12" s="119" t="s">
        <v>37</v>
      </c>
      <c r="C12" s="117"/>
      <c r="D12" s="118"/>
      <c r="E12" s="2" t="s">
        <v>38</v>
      </c>
    </row>
    <row r="13" spans="1:5" ht="35.1" customHeight="1" x14ac:dyDescent="0.25">
      <c r="A13" s="1">
        <v>10</v>
      </c>
      <c r="B13" s="116" t="s">
        <v>39</v>
      </c>
      <c r="C13" s="117"/>
      <c r="D13" s="118"/>
      <c r="E13" s="37" t="s">
        <v>9</v>
      </c>
    </row>
    <row r="14" spans="1:5" ht="40.5" customHeight="1" x14ac:dyDescent="0.25">
      <c r="A14" s="55" t="s">
        <v>40</v>
      </c>
      <c r="B14" s="120" t="s">
        <v>41</v>
      </c>
      <c r="C14" s="121"/>
      <c r="D14" s="121"/>
      <c r="E14" s="38" t="str">
        <f>_xlfn.CONCAT(TEXT(ROUND([0]!percentile_item6,4), "#,##0.00"), " % ", [0]!Above_Below_item6, ". No Condition.")</f>
        <v>1.00 % BELOW. No Condition.</v>
      </c>
    </row>
    <row r="15" spans="1:5" ht="44.25" customHeight="1" x14ac:dyDescent="0.25">
      <c r="A15" s="55" t="s">
        <v>42</v>
      </c>
      <c r="B15" s="119" t="s">
        <v>43</v>
      </c>
      <c r="C15" s="117"/>
      <c r="D15" s="118"/>
      <c r="E15" s="33" t="s">
        <v>44</v>
      </c>
    </row>
    <row r="16" spans="1:5" ht="35.1" customHeight="1" x14ac:dyDescent="0.25">
      <c r="A16" s="1">
        <v>13</v>
      </c>
      <c r="B16" s="116" t="s">
        <v>45</v>
      </c>
      <c r="C16" s="117"/>
      <c r="D16" s="118"/>
      <c r="E16" s="15" t="str">
        <f>[0]!Lowest_bidder_item6</f>
        <v>M/s. Powertech Engineer, Rajsamand</v>
      </c>
    </row>
    <row r="17" spans="1:5" ht="52.15" customHeight="1" x14ac:dyDescent="0.25">
      <c r="A17" s="56" t="s">
        <v>46</v>
      </c>
      <c r="B17" s="125" t="s">
        <v>47</v>
      </c>
      <c r="C17" s="121"/>
      <c r="D17" s="126"/>
      <c r="E17" s="2" t="s">
        <v>48</v>
      </c>
    </row>
    <row r="18" spans="1:5" x14ac:dyDescent="0.25">
      <c r="A18" s="35">
        <v>15</v>
      </c>
      <c r="B18" s="122" t="s">
        <v>49</v>
      </c>
      <c r="C18" s="123"/>
      <c r="D18" s="124"/>
      <c r="E18" s="31" t="s">
        <v>50</v>
      </c>
    </row>
    <row r="19" spans="1:5" x14ac:dyDescent="0.25">
      <c r="A19" s="36"/>
      <c r="B19" s="107" t="s">
        <v>51</v>
      </c>
      <c r="C19" s="108"/>
      <c r="D19" s="109"/>
      <c r="E19" s="32">
        <f>'Compare-6'!G10+20</f>
        <v>45760</v>
      </c>
    </row>
    <row r="20" spans="1:5" x14ac:dyDescent="0.25">
      <c r="A20" s="34">
        <v>16</v>
      </c>
      <c r="B20" s="110" t="s">
        <v>52</v>
      </c>
      <c r="C20" s="111"/>
      <c r="D20" s="112"/>
      <c r="E20" s="2" t="s">
        <v>53</v>
      </c>
    </row>
    <row r="21" spans="1:5" ht="35.1" customHeight="1" x14ac:dyDescent="0.25">
      <c r="A21" s="17"/>
      <c r="B21" s="18"/>
      <c r="C21" s="18"/>
      <c r="D21" s="18"/>
      <c r="E21" s="18"/>
    </row>
    <row r="22" spans="1:5" ht="15" customHeight="1" x14ac:dyDescent="0.25">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41"/>
  <sheetViews>
    <sheetView view="pageBreakPreview" topLeftCell="A7" zoomScaleNormal="100" zoomScaleSheetLayoutView="100" workbookViewId="0">
      <selection activeCell="A16" sqref="A16:I16"/>
    </sheetView>
  </sheetViews>
  <sheetFormatPr defaultColWidth="8.85546875" defaultRowHeight="15" x14ac:dyDescent="0.25"/>
  <cols>
    <col min="1" max="2" width="8.85546875" style="40" customWidth="1"/>
    <col min="3" max="5" width="10.28515625" style="40" bestFit="1" customWidth="1"/>
    <col min="6" max="6" width="8.85546875" style="40" customWidth="1"/>
    <col min="7" max="16384" width="8.85546875" style="40"/>
  </cols>
  <sheetData>
    <row r="1" spans="1:9" x14ac:dyDescent="0.25">
      <c r="A1" s="132" t="s">
        <v>54</v>
      </c>
      <c r="B1" s="131"/>
      <c r="C1" s="131"/>
      <c r="D1" s="131"/>
      <c r="E1" s="131"/>
      <c r="F1" s="131"/>
      <c r="G1" s="131"/>
      <c r="H1" s="131"/>
      <c r="I1" s="131"/>
    </row>
    <row r="2" spans="1:9" x14ac:dyDescent="0.25">
      <c r="A2" s="39"/>
      <c r="B2" s="39"/>
      <c r="C2" s="39"/>
      <c r="D2" s="39"/>
      <c r="E2" s="39"/>
      <c r="F2" s="39"/>
      <c r="G2" s="39"/>
      <c r="H2" s="41" t="s">
        <v>55</v>
      </c>
      <c r="I2" s="39"/>
    </row>
    <row r="3" spans="1:9" x14ac:dyDescent="0.25">
      <c r="A3" s="42" t="s">
        <v>56</v>
      </c>
      <c r="B3" s="39"/>
      <c r="C3" s="39"/>
      <c r="D3" s="39"/>
      <c r="E3" s="39"/>
      <c r="F3" s="39"/>
      <c r="G3" s="42" t="s">
        <v>57</v>
      </c>
      <c r="H3" s="42"/>
      <c r="I3" s="39"/>
    </row>
    <row r="4" spans="1:9" x14ac:dyDescent="0.25">
      <c r="A4" s="133" t="s">
        <v>94</v>
      </c>
      <c r="B4" s="131"/>
      <c r="C4" s="131"/>
      <c r="D4" s="131"/>
      <c r="E4" s="131"/>
      <c r="F4" s="131"/>
      <c r="G4" s="131"/>
      <c r="H4" s="131"/>
      <c r="I4" s="131"/>
    </row>
    <row r="5" spans="1:9" x14ac:dyDescent="0.25">
      <c r="A5" s="53" t="s">
        <v>93</v>
      </c>
    </row>
    <row r="6" spans="1:9" x14ac:dyDescent="0.25">
      <c r="A6" s="43" t="str">
        <f>[0]!Lowest_bidder_item6</f>
        <v>M/s. Powertech Engineer, Rajsamand</v>
      </c>
    </row>
    <row r="7" spans="1:9" x14ac:dyDescent="0.25">
      <c r="A7" s="43"/>
    </row>
    <row r="9" spans="1:9" ht="31.15" customHeight="1" x14ac:dyDescent="0.25">
      <c r="A9" s="44" t="s">
        <v>58</v>
      </c>
      <c r="B9" s="44"/>
      <c r="C9" s="134" t="str">
        <f>'Compare-6'!C3</f>
        <v xml:space="preserve">Electric cabling and maintenance work in Sahelion ki Bari , Udaipur  </v>
      </c>
      <c r="D9" s="131"/>
      <c r="E9" s="131"/>
      <c r="F9" s="131"/>
      <c r="G9" s="131"/>
      <c r="H9" s="131"/>
      <c r="I9" s="131"/>
    </row>
    <row r="10" spans="1:9" x14ac:dyDescent="0.25">
      <c r="A10" s="40" t="s">
        <v>59</v>
      </c>
      <c r="C10" s="40" t="str">
        <f>'Compare-6'!B4</f>
        <v>27/2024-25</v>
      </c>
      <c r="E10" s="40" t="str">
        <f>'Compare-6'!G4</f>
        <v>ITEM-6</v>
      </c>
    </row>
    <row r="11" spans="1:9" x14ac:dyDescent="0.25">
      <c r="A11" s="40" t="s">
        <v>60</v>
      </c>
      <c r="C11" s="45">
        <f>'Compare-6'!F4</f>
        <v>45728</v>
      </c>
    </row>
    <row r="12" spans="1:9" x14ac:dyDescent="0.25">
      <c r="A12" s="40" t="s">
        <v>61</v>
      </c>
      <c r="D12" s="45">
        <f>'Compare-6'!G10</f>
        <v>45740</v>
      </c>
    </row>
    <row r="13" spans="1:9" x14ac:dyDescent="0.25">
      <c r="A13" s="40" t="s">
        <v>62</v>
      </c>
      <c r="E13" s="45">
        <f>D12</f>
        <v>45740</v>
      </c>
    </row>
    <row r="14" spans="1:9" x14ac:dyDescent="0.25">
      <c r="A14" s="40" t="s">
        <v>63</v>
      </c>
    </row>
    <row r="15" spans="1:9" ht="64.900000000000006" customHeight="1" x14ac:dyDescent="0.25">
      <c r="A15" s="135" t="e">
        <f ca="1">_xlfn.CONCAT("       Your tender for the above work has been accepted on behalf of the Governor of Rajasthan @  ",ROUND([0]!percentile_item6,2), "%  ",[0]!Above_Below_item6," amounting to Rs.  ",ROUND([0]!Bid_Amount_item6,0),"/-- In words Rupees. ",NumToWords([0]!Bid_Amount_item6),".")</f>
        <v>#NAME?</v>
      </c>
      <c r="B15" s="131"/>
      <c r="C15" s="131"/>
      <c r="D15" s="131"/>
      <c r="E15" s="131"/>
      <c r="F15" s="131"/>
      <c r="G15" s="131"/>
      <c r="H15" s="131"/>
      <c r="I15" s="131"/>
    </row>
    <row r="16" spans="1:9" ht="66" customHeight="1" x14ac:dyDescent="0.25">
      <c r="A16" s="135" t="s">
        <v>64</v>
      </c>
      <c r="B16" s="131"/>
      <c r="C16" s="131"/>
      <c r="D16" s="131"/>
      <c r="E16" s="131"/>
      <c r="F16" s="131"/>
      <c r="G16" s="131"/>
      <c r="H16" s="131"/>
      <c r="I16" s="131"/>
    </row>
    <row r="18" spans="1:9" x14ac:dyDescent="0.25">
      <c r="A18" s="40" t="s">
        <v>65</v>
      </c>
    </row>
    <row r="19" spans="1:9" x14ac:dyDescent="0.25">
      <c r="A19" s="40" t="s">
        <v>66</v>
      </c>
      <c r="F19" s="130">
        <v>45741</v>
      </c>
      <c r="G19" s="131"/>
    </row>
    <row r="20" spans="1:9" x14ac:dyDescent="0.25">
      <c r="A20" s="40" t="s">
        <v>67</v>
      </c>
      <c r="F20" s="130">
        <v>46015.23</v>
      </c>
      <c r="G20" s="131"/>
    </row>
    <row r="21" spans="1:9" x14ac:dyDescent="0.25">
      <c r="A21" s="40" t="s">
        <v>68</v>
      </c>
    </row>
    <row r="22" spans="1:9" x14ac:dyDescent="0.25">
      <c r="A22" s="40" t="s">
        <v>69</v>
      </c>
    </row>
    <row r="23" spans="1:9" x14ac:dyDescent="0.25">
      <c r="A23" s="40" t="s">
        <v>70</v>
      </c>
    </row>
    <row r="25" spans="1:9" x14ac:dyDescent="0.25">
      <c r="A25" s="40" t="s">
        <v>71</v>
      </c>
    </row>
    <row r="27" spans="1:9" x14ac:dyDescent="0.25">
      <c r="A27" s="40" t="s">
        <v>72</v>
      </c>
    </row>
    <row r="28" spans="1:9" x14ac:dyDescent="0.25">
      <c r="A28" s="40" t="s">
        <v>73</v>
      </c>
    </row>
    <row r="29" spans="1:9" x14ac:dyDescent="0.25">
      <c r="A29" s="42" t="s">
        <v>56</v>
      </c>
      <c r="B29" s="39"/>
      <c r="C29" s="39"/>
      <c r="D29" s="39"/>
      <c r="E29" s="39"/>
      <c r="F29" s="39"/>
      <c r="G29" s="42" t="s">
        <v>57</v>
      </c>
      <c r="H29" s="42"/>
      <c r="I29" s="39"/>
    </row>
    <row r="30" spans="1:9" x14ac:dyDescent="0.25">
      <c r="A30" s="40" t="s">
        <v>74</v>
      </c>
    </row>
    <row r="31" spans="1:9" x14ac:dyDescent="0.25">
      <c r="A31" s="40" t="s">
        <v>75</v>
      </c>
    </row>
    <row r="32" spans="1:9" x14ac:dyDescent="0.25">
      <c r="A32" s="40" t="s">
        <v>76</v>
      </c>
    </row>
    <row r="33" spans="1:1" x14ac:dyDescent="0.25">
      <c r="A33" s="40" t="s">
        <v>77</v>
      </c>
    </row>
    <row r="34" spans="1:1" x14ac:dyDescent="0.25">
      <c r="A34" s="40" t="s">
        <v>78</v>
      </c>
    </row>
    <row r="35" spans="1:1" x14ac:dyDescent="0.25">
      <c r="A35" s="40" t="s">
        <v>79</v>
      </c>
    </row>
    <row r="36" spans="1:1" x14ac:dyDescent="0.25">
      <c r="A36" s="40" t="s">
        <v>80</v>
      </c>
    </row>
    <row r="37" spans="1:1" x14ac:dyDescent="0.25">
      <c r="A37" s="40" t="s">
        <v>81</v>
      </c>
    </row>
    <row r="38" spans="1:1" x14ac:dyDescent="0.25">
      <c r="A38" s="40" t="s">
        <v>82</v>
      </c>
    </row>
    <row r="40" spans="1:1" x14ac:dyDescent="0.25">
      <c r="A40" s="40" t="s">
        <v>83</v>
      </c>
    </row>
    <row r="41" spans="1:1" x14ac:dyDescent="0.25">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I28"/>
  <sheetViews>
    <sheetView view="pageBreakPreview" zoomScaleNormal="100" zoomScaleSheetLayoutView="100" workbookViewId="0">
      <selection activeCell="A16" sqref="A16:I16"/>
    </sheetView>
  </sheetViews>
  <sheetFormatPr defaultColWidth="8.85546875" defaultRowHeight="15" x14ac:dyDescent="0.25"/>
  <cols>
    <col min="1" max="2" width="8.85546875" style="40" customWidth="1"/>
    <col min="3" max="5" width="11.28515625" style="40" bestFit="1" customWidth="1"/>
    <col min="6" max="6" width="8.85546875" style="40" customWidth="1"/>
    <col min="7" max="16384" width="8.85546875" style="40"/>
  </cols>
  <sheetData>
    <row r="1" spans="1:9" ht="15.75" x14ac:dyDescent="0.25">
      <c r="A1" s="138" t="s">
        <v>54</v>
      </c>
      <c r="B1" s="137"/>
      <c r="C1" s="137"/>
      <c r="D1" s="137"/>
      <c r="E1" s="137"/>
      <c r="F1" s="137"/>
      <c r="G1" s="137"/>
      <c r="H1" s="137"/>
      <c r="I1" s="137"/>
    </row>
    <row r="2" spans="1:9" x14ac:dyDescent="0.25">
      <c r="A2" s="42" t="s">
        <v>56</v>
      </c>
      <c r="B2" s="39"/>
      <c r="C2" s="39"/>
      <c r="D2" s="39"/>
      <c r="E2" s="39"/>
      <c r="F2" s="39"/>
      <c r="G2" s="42" t="s">
        <v>57</v>
      </c>
      <c r="H2" s="42"/>
      <c r="I2" s="39"/>
    </row>
    <row r="3" spans="1:9" ht="18.75" x14ac:dyDescent="0.3">
      <c r="A3" s="139" t="s">
        <v>85</v>
      </c>
      <c r="B3" s="140"/>
      <c r="C3" s="140"/>
      <c r="D3" s="140"/>
      <c r="E3" s="140"/>
      <c r="F3" s="140"/>
      <c r="G3" s="140"/>
      <c r="H3" s="140"/>
      <c r="I3" s="140"/>
    </row>
    <row r="4" spans="1:9" x14ac:dyDescent="0.25">
      <c r="A4" s="53" t="s">
        <v>93</v>
      </c>
      <c r="B4" s="40" t="str">
        <f>'Compare-1'!B4</f>
        <v>27/2024-25</v>
      </c>
    </row>
    <row r="5" spans="1:9" x14ac:dyDescent="0.25">
      <c r="A5" s="43" t="str">
        <f>[0]!Lowest_bidder_item6</f>
        <v>M/s. Powertech Engineer, Rajsamand</v>
      </c>
    </row>
    <row r="6" spans="1:9" x14ac:dyDescent="0.25">
      <c r="A6" s="43"/>
    </row>
    <row r="8" spans="1:9" s="47" customFormat="1" ht="31.15" customHeight="1" x14ac:dyDescent="0.25">
      <c r="A8" s="51" t="s">
        <v>89</v>
      </c>
      <c r="B8" s="46"/>
      <c r="C8" s="141" t="s">
        <v>3</v>
      </c>
      <c r="D8" s="137"/>
      <c r="E8" s="137"/>
      <c r="F8" s="137"/>
      <c r="G8" s="137"/>
      <c r="H8" s="137"/>
      <c r="I8" s="137"/>
    </row>
    <row r="9" spans="1:9" s="47" customFormat="1" ht="15.6" customHeight="1" x14ac:dyDescent="0.25">
      <c r="A9" s="47" t="s">
        <v>59</v>
      </c>
      <c r="C9" s="47" t="str">
        <f>'Compare-6'!B4</f>
        <v>27/2024-25</v>
      </c>
      <c r="E9" s="52" t="str">
        <f>'Compare-6'!G4</f>
        <v>ITEM-6</v>
      </c>
    </row>
    <row r="10" spans="1:9" s="47" customFormat="1" ht="15.6" customHeight="1" x14ac:dyDescent="0.25">
      <c r="A10" s="47" t="s">
        <v>60</v>
      </c>
      <c r="C10" s="48">
        <f>'Compare-6'!F4</f>
        <v>45728</v>
      </c>
    </row>
    <row r="11" spans="1:9" s="47" customFormat="1" ht="15.6" customHeight="1" x14ac:dyDescent="0.25">
      <c r="A11" s="47" t="s">
        <v>61</v>
      </c>
      <c r="D11" s="48">
        <f>'Compare-6'!G10</f>
        <v>45740</v>
      </c>
    </row>
    <row r="12" spans="1:9" s="47" customFormat="1" ht="15.6" customHeight="1" x14ac:dyDescent="0.25">
      <c r="A12" s="47" t="s">
        <v>62</v>
      </c>
      <c r="E12" s="48">
        <f>D11</f>
        <v>45740</v>
      </c>
    </row>
    <row r="13" spans="1:9" s="47" customFormat="1" ht="15.6" customHeight="1" x14ac:dyDescent="0.25">
      <c r="A13" s="47" t="s">
        <v>63</v>
      </c>
    </row>
    <row r="14" spans="1:9" s="47" customFormat="1" ht="74.45" customHeight="1" x14ac:dyDescent="0.25">
      <c r="A14" s="136" t="e">
        <f ca="1">_xlfn.CONCAT("       Your tender for the above work has been accepted on behalf of the Governor of Rajasthan @  ",ROUND([0]!percentile_item6,2), "%  ",[0]!Above_Below_item6," amounting to Rs.  ",ROUND([0]!Bid_Amount_item6,0),"/-- In words Rupees. ",NumToWords([0]!Bid_Amount_item6),"by the undersingned Executive Engineer PWD Electric Divistion Udaipur.")</f>
        <v>#NAME?</v>
      </c>
      <c r="B14" s="137"/>
      <c r="C14" s="137"/>
      <c r="D14" s="137"/>
      <c r="E14" s="137"/>
      <c r="F14" s="137"/>
      <c r="G14" s="137"/>
      <c r="H14" s="137"/>
      <c r="I14" s="137"/>
    </row>
    <row r="15" spans="1:9" s="47" customFormat="1" ht="109.9" customHeight="1" x14ac:dyDescent="0.25">
      <c r="A15" s="136" t="s">
        <v>86</v>
      </c>
      <c r="B15" s="137"/>
      <c r="C15" s="137"/>
      <c r="D15" s="137"/>
      <c r="E15" s="137"/>
      <c r="F15" s="137"/>
      <c r="G15" s="137"/>
      <c r="H15" s="137"/>
      <c r="I15" s="137"/>
    </row>
    <row r="16" spans="1:9" s="47" customFormat="1" ht="15.6" customHeight="1" x14ac:dyDescent="0.25">
      <c r="A16" s="47" t="s">
        <v>87</v>
      </c>
    </row>
    <row r="17" spans="1:9" s="47" customFormat="1" ht="15.6" customHeight="1" x14ac:dyDescent="0.25"/>
    <row r="18" spans="1:9" s="47" customFormat="1" ht="15.6" customHeight="1" x14ac:dyDescent="0.25">
      <c r="A18" s="47" t="s">
        <v>71</v>
      </c>
    </row>
    <row r="19" spans="1:9" s="47" customFormat="1" ht="15.6" customHeight="1" x14ac:dyDescent="0.25"/>
    <row r="20" spans="1:9" s="47" customFormat="1" ht="15.6" customHeight="1" x14ac:dyDescent="0.25">
      <c r="A20" s="47" t="s">
        <v>72</v>
      </c>
    </row>
    <row r="21" spans="1:9" s="47" customFormat="1" ht="15.6" customHeight="1" x14ac:dyDescent="0.25">
      <c r="A21" s="47" t="s">
        <v>73</v>
      </c>
    </row>
    <row r="22" spans="1:9" s="47" customFormat="1" ht="15.6" customHeight="1" x14ac:dyDescent="0.25">
      <c r="A22" s="49" t="s">
        <v>56</v>
      </c>
      <c r="B22" s="49"/>
      <c r="C22" s="49"/>
      <c r="D22" s="49"/>
      <c r="E22" s="49"/>
      <c r="F22" s="49"/>
      <c r="G22" s="49" t="s">
        <v>57</v>
      </c>
      <c r="H22" s="49"/>
      <c r="I22" s="49"/>
    </row>
    <row r="23" spans="1:9" s="47" customFormat="1" ht="15.6" customHeight="1" x14ac:dyDescent="0.25">
      <c r="A23" s="47" t="s">
        <v>74</v>
      </c>
    </row>
    <row r="24" spans="1:9" s="47" customFormat="1" ht="15.6" customHeight="1" x14ac:dyDescent="0.25">
      <c r="A24" s="47" t="s">
        <v>88</v>
      </c>
    </row>
    <row r="25" spans="1:9" s="47" customFormat="1" ht="15.6" customHeight="1" x14ac:dyDescent="0.25">
      <c r="A25" s="47" t="s">
        <v>90</v>
      </c>
    </row>
    <row r="26" spans="1:9" s="47" customFormat="1" ht="15.6" customHeight="1" x14ac:dyDescent="0.25"/>
    <row r="27" spans="1:9" x14ac:dyDescent="0.25">
      <c r="A27" s="40" t="s">
        <v>83</v>
      </c>
    </row>
    <row r="28" spans="1:9" x14ac:dyDescent="0.25">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G25"/>
  <sheetViews>
    <sheetView view="pageBreakPreview" zoomScaleNormal="100" zoomScaleSheetLayoutView="100" workbookViewId="0">
      <selection activeCell="H18" sqref="H18"/>
    </sheetView>
  </sheetViews>
  <sheetFormatPr defaultColWidth="9.140625" defaultRowHeight="15" x14ac:dyDescent="0.25"/>
  <cols>
    <col min="1" max="1" width="9.140625" style="6" customWidth="1"/>
    <col min="2" max="2" width="49.28515625" style="6" customWidth="1"/>
    <col min="3" max="3" width="12.7109375" style="6" customWidth="1"/>
    <col min="4" max="4" width="9" style="6" customWidth="1"/>
    <col min="5" max="5" width="6.7109375" style="22" customWidth="1"/>
    <col min="6" max="6" width="26" style="6" customWidth="1"/>
    <col min="7" max="7" width="14.28515625" style="6" customWidth="1"/>
    <col min="8" max="16384" width="9.140625" style="6"/>
  </cols>
  <sheetData>
    <row r="1" spans="1:7" x14ac:dyDescent="0.25">
      <c r="A1" s="102" t="s">
        <v>0</v>
      </c>
      <c r="B1" s="103"/>
      <c r="C1" s="103"/>
      <c r="D1" s="103"/>
      <c r="E1" s="103"/>
      <c r="F1" s="103"/>
      <c r="G1" s="103"/>
    </row>
    <row r="2" spans="1:7" ht="15.6" customHeight="1" x14ac:dyDescent="0.25">
      <c r="A2" s="104" t="s">
        <v>1</v>
      </c>
      <c r="B2" s="103"/>
      <c r="C2" s="103"/>
      <c r="D2" s="103"/>
      <c r="E2" s="103"/>
      <c r="F2" s="103"/>
      <c r="G2" s="103"/>
    </row>
    <row r="3" spans="1:7" ht="31.15" customHeight="1" x14ac:dyDescent="0.25">
      <c r="A3" s="7" t="s">
        <v>2</v>
      </c>
      <c r="C3" s="106" t="s">
        <v>3</v>
      </c>
      <c r="D3" s="106"/>
      <c r="E3" s="106"/>
      <c r="F3" s="106"/>
      <c r="G3" s="106"/>
    </row>
    <row r="4" spans="1:7" x14ac:dyDescent="0.25">
      <c r="A4" s="58" t="s">
        <v>4</v>
      </c>
      <c r="B4" s="77" t="str">
        <f>'Compare-1'!B4</f>
        <v>27/2024-25</v>
      </c>
      <c r="C4" s="142" t="s">
        <v>5</v>
      </c>
      <c r="D4" s="143"/>
      <c r="E4" s="143"/>
      <c r="F4" s="78">
        <f>'Compare-1'!F4</f>
        <v>45728</v>
      </c>
      <c r="G4" s="75" t="s">
        <v>107</v>
      </c>
    </row>
    <row r="5" spans="1:7" s="9" customFormat="1" x14ac:dyDescent="0.2">
      <c r="A5" s="62" t="s">
        <v>92</v>
      </c>
      <c r="B5" s="62"/>
      <c r="C5" s="144">
        <f>C12</f>
        <v>641694</v>
      </c>
      <c r="D5" s="143"/>
      <c r="E5" s="63"/>
      <c r="F5" s="64" t="s">
        <v>98</v>
      </c>
      <c r="G5" s="65">
        <v>13000</v>
      </c>
    </row>
    <row r="6" spans="1:7" s="9" customFormat="1" x14ac:dyDescent="0.2">
      <c r="A6" s="62" t="s">
        <v>7</v>
      </c>
      <c r="B6" s="62"/>
      <c r="C6" s="85">
        <f>ROUNDUP(F17,0)</f>
        <v>628861</v>
      </c>
      <c r="D6" s="86"/>
      <c r="E6" s="66"/>
      <c r="F6" s="64" t="s">
        <v>91</v>
      </c>
      <c r="G6" s="67">
        <v>9</v>
      </c>
    </row>
    <row r="7" spans="1:7" s="9" customFormat="1" x14ac:dyDescent="0.2">
      <c r="A7" s="87" t="s">
        <v>8</v>
      </c>
      <c r="B7" s="84"/>
      <c r="C7" s="87" t="s">
        <v>9</v>
      </c>
      <c r="D7" s="84"/>
      <c r="E7" s="57"/>
      <c r="F7" s="68" t="s">
        <v>10</v>
      </c>
      <c r="G7" s="69">
        <v>4</v>
      </c>
    </row>
    <row r="8" spans="1:7" s="9" customFormat="1" x14ac:dyDescent="0.2">
      <c r="A8" s="87" t="s">
        <v>11</v>
      </c>
      <c r="B8" s="84"/>
      <c r="C8" s="57" t="s">
        <v>12</v>
      </c>
      <c r="D8" s="70"/>
      <c r="E8" s="57"/>
      <c r="F8" s="68" t="s">
        <v>13</v>
      </c>
      <c r="G8" s="64">
        <v>4</v>
      </c>
    </row>
    <row r="9" spans="1:7" s="9" customFormat="1" x14ac:dyDescent="0.2">
      <c r="A9" s="87" t="s">
        <v>14</v>
      </c>
      <c r="B9" s="84"/>
      <c r="C9" s="88">
        <f>C6</f>
        <v>628861</v>
      </c>
      <c r="D9" s="86"/>
      <c r="E9" s="71"/>
      <c r="F9" s="68" t="s">
        <v>15</v>
      </c>
      <c r="G9" s="76">
        <f>F4</f>
        <v>45728</v>
      </c>
    </row>
    <row r="10" spans="1:7" s="9" customFormat="1" x14ac:dyDescent="0.2">
      <c r="A10" s="87" t="s">
        <v>16</v>
      </c>
      <c r="B10" s="84"/>
      <c r="C10" s="87" t="s">
        <v>17</v>
      </c>
      <c r="D10" s="84"/>
      <c r="E10" s="84"/>
      <c r="F10" s="68" t="s">
        <v>18</v>
      </c>
      <c r="G10" s="76">
        <f>'Compare-1'!G8</f>
        <v>45740</v>
      </c>
    </row>
    <row r="11" spans="1:7" ht="27.75" customHeight="1" x14ac:dyDescent="0.25">
      <c r="A11" s="10" t="s">
        <v>19</v>
      </c>
      <c r="B11" s="11" t="s">
        <v>20</v>
      </c>
      <c r="C11" s="11" t="s">
        <v>96</v>
      </c>
      <c r="D11" s="89" t="s">
        <v>21</v>
      </c>
      <c r="E11" s="90"/>
      <c r="F11" s="101" t="s">
        <v>97</v>
      </c>
      <c r="G11" s="98"/>
    </row>
    <row r="12" spans="1:7" ht="22.9" customHeight="1" x14ac:dyDescent="0.25">
      <c r="A12" s="19">
        <v>1</v>
      </c>
      <c r="B12" s="12" t="s">
        <v>100</v>
      </c>
      <c r="C12" s="19">
        <v>641694</v>
      </c>
      <c r="D12" s="23">
        <v>2</v>
      </c>
      <c r="E12" s="29" t="s">
        <v>22</v>
      </c>
      <c r="F12" s="97">
        <f>IF(E12="below",ROUNDUP(C12*(1-D12/100),0),ROUNDUP(C12*(1+D12/100),0))</f>
        <v>628861</v>
      </c>
      <c r="G12" s="98"/>
    </row>
    <row r="13" spans="1:7" ht="18.600000000000001" customHeight="1" x14ac:dyDescent="0.25">
      <c r="A13" s="19">
        <v>2</v>
      </c>
      <c r="B13" s="12" t="s">
        <v>101</v>
      </c>
      <c r="C13" s="54">
        <f>$C$12</f>
        <v>641694</v>
      </c>
      <c r="D13" s="23">
        <v>1</v>
      </c>
      <c r="E13" s="29" t="s">
        <v>22</v>
      </c>
      <c r="F13" s="97">
        <f t="shared" ref="F13:F15" si="0">IF(E13="below",ROUNDUP(C13*(1-D13/100),0),ROUNDUP(C13*(1+D13/100),0))</f>
        <v>635278</v>
      </c>
      <c r="G13" s="98"/>
    </row>
    <row r="14" spans="1:7" ht="18.600000000000001" customHeight="1" x14ac:dyDescent="0.25">
      <c r="A14" s="19">
        <v>3</v>
      </c>
      <c r="B14" s="12" t="s">
        <v>102</v>
      </c>
      <c r="C14" s="54">
        <f>$C$12</f>
        <v>641694</v>
      </c>
      <c r="D14" s="23">
        <v>1</v>
      </c>
      <c r="E14" s="29" t="s">
        <v>22</v>
      </c>
      <c r="F14" s="97">
        <f t="shared" si="0"/>
        <v>635278</v>
      </c>
      <c r="G14" s="98"/>
    </row>
    <row r="15" spans="1:7" ht="21" customHeight="1" x14ac:dyDescent="0.25">
      <c r="A15" s="19">
        <v>4</v>
      </c>
      <c r="B15" s="12" t="s">
        <v>103</v>
      </c>
      <c r="C15" s="54">
        <f t="shared" ref="C15" si="1">$C$12</f>
        <v>641694</v>
      </c>
      <c r="D15" s="23">
        <v>0.1</v>
      </c>
      <c r="E15" s="29" t="s">
        <v>22</v>
      </c>
      <c r="F15" s="97">
        <f t="shared" si="0"/>
        <v>641053</v>
      </c>
      <c r="G15" s="98"/>
    </row>
    <row r="16" spans="1:7" ht="4.1500000000000004" customHeight="1" x14ac:dyDescent="0.25">
      <c r="D16" s="22"/>
      <c r="E16" s="6"/>
    </row>
    <row r="17" spans="1:7" ht="15" customHeight="1" thickBot="1" x14ac:dyDescent="0.3">
      <c r="A17" s="25" t="s">
        <v>23</v>
      </c>
      <c r="B17" s="26" t="str">
        <f>INDEX(B12:B15,MATCH(MIN(F12:F15),F12:F15,0))</f>
        <v>M/s. Vikas Enterprises, Udaipur</v>
      </c>
      <c r="C17" s="26"/>
      <c r="D17" s="27">
        <f>INDEX(D12:D15,MATCH(MIN(F12:F15),F12:F15,0))</f>
        <v>2</v>
      </c>
      <c r="E17" s="26" t="str">
        <f>INDEX(E12:E15,MATCH(MIN(F12:F15),F12:F15,0))</f>
        <v>BELOW</v>
      </c>
      <c r="F17" s="74">
        <f>ROUND(MIN(F12:F15),0)</f>
        <v>628861</v>
      </c>
    </row>
    <row r="18" spans="1:7" ht="57" customHeight="1" x14ac:dyDescent="0.25">
      <c r="A18" s="8"/>
      <c r="B18" s="8"/>
      <c r="C18" s="91" t="e">
        <f ca="1">_xlfn.CONCAT("The tender of the lowest bidder "," ", Lowest_bidder_item7," @ ",ROUND(percentile_item7,2),"%  ",Above_Below_item7," amounting to Rs.  ",ROUND(Bid_Amount_item7,0),"/-- In words Rupees. ",NumToWords(Bid_Amount_item7),".")</f>
        <v>#NAME?</v>
      </c>
      <c r="D18" s="92"/>
      <c r="E18" s="92"/>
      <c r="F18" s="93"/>
    </row>
    <row r="19" spans="1:7" ht="13.15" customHeight="1" x14ac:dyDescent="0.25">
      <c r="A19" s="8"/>
      <c r="B19" s="8"/>
      <c r="C19" s="28"/>
      <c r="D19" s="99"/>
      <c r="E19" s="81"/>
      <c r="F19" s="100"/>
    </row>
    <row r="20" spans="1:7" ht="15" customHeight="1" thickBot="1" x14ac:dyDescent="0.3">
      <c r="A20" s="8"/>
      <c r="B20" s="8"/>
      <c r="C20" s="94" t="s">
        <v>24</v>
      </c>
      <c r="D20" s="95"/>
      <c r="E20" s="95"/>
      <c r="F20" s="96"/>
    </row>
    <row r="21" spans="1:7" ht="15" customHeight="1" x14ac:dyDescent="0.25">
      <c r="A21" s="8"/>
      <c r="B21" s="8"/>
      <c r="C21" s="50"/>
      <c r="D21" s="73"/>
      <c r="E21" s="73"/>
      <c r="F21" s="73"/>
    </row>
    <row r="22" spans="1:7" ht="15" customHeight="1" x14ac:dyDescent="0.25">
      <c r="A22" s="8"/>
      <c r="B22" s="8"/>
      <c r="C22" s="50"/>
      <c r="D22" s="73"/>
      <c r="E22" s="73"/>
      <c r="F22" s="73"/>
    </row>
    <row r="23" spans="1:7" x14ac:dyDescent="0.25">
      <c r="D23" s="22"/>
      <c r="E23" s="6"/>
      <c r="F23" s="82"/>
      <c r="G23" s="81"/>
    </row>
    <row r="24" spans="1:7" s="13" customFormat="1" ht="18" customHeight="1" x14ac:dyDescent="0.3">
      <c r="A24" s="80" t="s">
        <v>25</v>
      </c>
      <c r="B24" s="81"/>
      <c r="C24" s="81"/>
      <c r="D24" s="81"/>
      <c r="E24" s="81"/>
      <c r="F24" s="81"/>
      <c r="G24" s="81"/>
    </row>
    <row r="25" spans="1:7" s="13" customFormat="1" ht="18" customHeight="1" x14ac:dyDescent="0.3">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E22"/>
  <sheetViews>
    <sheetView view="pageBreakPreview" topLeftCell="A10" zoomScaleNormal="100" zoomScaleSheetLayoutView="100" workbookViewId="0">
      <selection activeCell="A16" sqref="A16:I16"/>
    </sheetView>
  </sheetViews>
  <sheetFormatPr defaultRowHeight="15" x14ac:dyDescent="0.25"/>
  <cols>
    <col min="1" max="1" width="8" customWidth="1"/>
    <col min="2" max="2" width="15.85546875" style="16" customWidth="1"/>
    <col min="3" max="3" width="8.85546875" customWidth="1"/>
    <col min="4" max="4" width="4.85546875" customWidth="1"/>
    <col min="5" max="5" width="62.42578125" customWidth="1"/>
  </cols>
  <sheetData>
    <row r="1" spans="1:5" ht="16.5" customHeight="1" x14ac:dyDescent="0.25">
      <c r="A1" s="127" t="s">
        <v>26</v>
      </c>
      <c r="B1" s="114"/>
      <c r="C1" s="115"/>
      <c r="D1" s="115"/>
      <c r="E1" s="115"/>
    </row>
    <row r="2" spans="1:5" ht="35.1" customHeight="1" x14ac:dyDescent="0.25">
      <c r="A2" s="1">
        <v>1</v>
      </c>
      <c r="B2" s="116" t="s">
        <v>27</v>
      </c>
      <c r="C2" s="117"/>
      <c r="D2" s="118"/>
      <c r="E2" s="3"/>
    </row>
    <row r="3" spans="1:5" s="16" customFormat="1" ht="15" customHeight="1" x14ac:dyDescent="0.25">
      <c r="A3" s="55" t="s">
        <v>28</v>
      </c>
      <c r="B3" s="119" t="s">
        <v>29</v>
      </c>
      <c r="C3" s="117"/>
      <c r="D3" s="118"/>
      <c r="E3" s="30" t="str">
        <f>'Compare-7'!C3</f>
        <v xml:space="preserve">Electric cabling and maintenance work in Sahelion ki Bari , Udaipur  </v>
      </c>
    </row>
    <row r="4" spans="1:5" ht="15" customHeight="1" x14ac:dyDescent="0.25">
      <c r="A4" s="4"/>
      <c r="B4" s="128" t="str">
        <f>'Compare-1'!B4</f>
        <v>27/2024-25</v>
      </c>
      <c r="C4" s="117"/>
      <c r="D4" s="118"/>
      <c r="E4" s="21"/>
    </row>
    <row r="5" spans="1:5" ht="15" customHeight="1" x14ac:dyDescent="0.25">
      <c r="A5" s="1">
        <v>3</v>
      </c>
      <c r="B5" s="119" t="s">
        <v>31</v>
      </c>
      <c r="C5" s="117"/>
      <c r="D5" s="118"/>
      <c r="E5" s="3"/>
    </row>
    <row r="6" spans="1:5" ht="15" customHeight="1" x14ac:dyDescent="0.25">
      <c r="A6" s="1"/>
      <c r="B6" s="129" t="s">
        <v>32</v>
      </c>
      <c r="C6" s="117"/>
      <c r="D6" s="118"/>
      <c r="E6" s="3">
        <f>'Compare-7'!C5</f>
        <v>641694</v>
      </c>
    </row>
    <row r="7" spans="1:5" ht="50.45" customHeight="1" x14ac:dyDescent="0.25">
      <c r="A7" s="1">
        <v>4</v>
      </c>
      <c r="B7" s="119" t="s">
        <v>33</v>
      </c>
      <c r="C7" s="117"/>
      <c r="D7" s="118"/>
      <c r="E7" s="3"/>
    </row>
    <row r="8" spans="1:5" ht="35.1" customHeight="1" x14ac:dyDescent="0.25">
      <c r="A8" s="1">
        <v>5</v>
      </c>
      <c r="B8" s="116" t="s">
        <v>15</v>
      </c>
      <c r="C8" s="117"/>
      <c r="D8" s="118"/>
      <c r="E8" s="20">
        <f>'Compare-7'!F4</f>
        <v>45728</v>
      </c>
    </row>
    <row r="9" spans="1:5" ht="34.9" customHeight="1" x14ac:dyDescent="0.25">
      <c r="A9" s="1">
        <v>6</v>
      </c>
      <c r="B9" s="116" t="s">
        <v>34</v>
      </c>
      <c r="C9" s="117"/>
      <c r="D9" s="118"/>
      <c r="E9" s="20">
        <f>'Compare-7'!G10</f>
        <v>45740</v>
      </c>
    </row>
    <row r="10" spans="1:5" ht="35.1" customHeight="1" x14ac:dyDescent="0.25">
      <c r="A10" s="1">
        <v>7</v>
      </c>
      <c r="B10" s="116" t="s">
        <v>35</v>
      </c>
      <c r="C10" s="117"/>
      <c r="D10" s="118"/>
      <c r="E10" s="5">
        <f>'Compare-7'!G7</f>
        <v>4</v>
      </c>
    </row>
    <row r="11" spans="1:5" ht="34.9" customHeight="1" x14ac:dyDescent="0.25">
      <c r="A11" s="1">
        <v>8</v>
      </c>
      <c r="B11" s="116" t="s">
        <v>36</v>
      </c>
      <c r="C11" s="117"/>
      <c r="D11" s="118"/>
      <c r="E11" s="5">
        <f>'Compare-7'!G8</f>
        <v>4</v>
      </c>
    </row>
    <row r="12" spans="1:5" ht="34.9" customHeight="1" x14ac:dyDescent="0.25">
      <c r="A12" s="1">
        <v>9</v>
      </c>
      <c r="B12" s="119" t="s">
        <v>37</v>
      </c>
      <c r="C12" s="117"/>
      <c r="D12" s="118"/>
      <c r="E12" s="2" t="s">
        <v>38</v>
      </c>
    </row>
    <row r="13" spans="1:5" ht="35.1" customHeight="1" x14ac:dyDescent="0.25">
      <c r="A13" s="1">
        <v>10</v>
      </c>
      <c r="B13" s="116" t="s">
        <v>39</v>
      </c>
      <c r="C13" s="117"/>
      <c r="D13" s="118"/>
      <c r="E13" s="37" t="s">
        <v>9</v>
      </c>
    </row>
    <row r="14" spans="1:5" ht="40.5" customHeight="1" x14ac:dyDescent="0.25">
      <c r="A14" s="55" t="s">
        <v>40</v>
      </c>
      <c r="B14" s="120" t="s">
        <v>41</v>
      </c>
      <c r="C14" s="121"/>
      <c r="D14" s="121"/>
      <c r="E14" s="38" t="str">
        <f>_xlfn.CONCAT(TEXT(ROUND([0]!percentile_item7,4), "#,##0.00"), " % ", [0]!Above_Below_item7, ". No Condition.")</f>
        <v>2.00 % BELOW. No Condition.</v>
      </c>
    </row>
    <row r="15" spans="1:5" ht="44.25" customHeight="1" x14ac:dyDescent="0.25">
      <c r="A15" s="55" t="s">
        <v>42</v>
      </c>
      <c r="B15" s="119" t="s">
        <v>43</v>
      </c>
      <c r="C15" s="117"/>
      <c r="D15" s="118"/>
      <c r="E15" s="33" t="s">
        <v>44</v>
      </c>
    </row>
    <row r="16" spans="1:5" ht="35.1" customHeight="1" x14ac:dyDescent="0.25">
      <c r="A16" s="1">
        <v>13</v>
      </c>
      <c r="B16" s="116" t="s">
        <v>45</v>
      </c>
      <c r="C16" s="117"/>
      <c r="D16" s="118"/>
      <c r="E16" s="15" t="str">
        <f>[0]!Lowest_bidder_item7</f>
        <v>M/s. Vikas Enterprises, Udaipur</v>
      </c>
    </row>
    <row r="17" spans="1:5" ht="52.15" customHeight="1" x14ac:dyDescent="0.25">
      <c r="A17" s="56" t="s">
        <v>46</v>
      </c>
      <c r="B17" s="125" t="s">
        <v>47</v>
      </c>
      <c r="C17" s="121"/>
      <c r="D17" s="126"/>
      <c r="E17" s="2" t="s">
        <v>48</v>
      </c>
    </row>
    <row r="18" spans="1:5" x14ac:dyDescent="0.25">
      <c r="A18" s="35">
        <v>15</v>
      </c>
      <c r="B18" s="122" t="s">
        <v>49</v>
      </c>
      <c r="C18" s="123"/>
      <c r="D18" s="124"/>
      <c r="E18" s="31" t="s">
        <v>50</v>
      </c>
    </row>
    <row r="19" spans="1:5" x14ac:dyDescent="0.25">
      <c r="A19" s="36"/>
      <c r="B19" s="107" t="s">
        <v>51</v>
      </c>
      <c r="C19" s="108"/>
      <c r="D19" s="109"/>
      <c r="E19" s="32">
        <f>'Compare-7'!G10+20</f>
        <v>45760</v>
      </c>
    </row>
    <row r="20" spans="1:5" x14ac:dyDescent="0.25">
      <c r="A20" s="34">
        <v>16</v>
      </c>
      <c r="B20" s="110" t="s">
        <v>52</v>
      </c>
      <c r="C20" s="111"/>
      <c r="D20" s="112"/>
      <c r="E20" s="2" t="s">
        <v>53</v>
      </c>
    </row>
    <row r="21" spans="1:5" ht="35.1" customHeight="1" x14ac:dyDescent="0.25">
      <c r="A21" s="17"/>
      <c r="B21" s="18"/>
      <c r="C21" s="18"/>
      <c r="D21" s="18"/>
      <c r="E21" s="18"/>
    </row>
    <row r="22" spans="1:5" ht="15" customHeight="1" x14ac:dyDescent="0.25">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I41"/>
  <sheetViews>
    <sheetView view="pageBreakPreview" topLeftCell="A7" zoomScaleNormal="100" zoomScaleSheetLayoutView="100" workbookViewId="0">
      <selection activeCell="A16" sqref="A16:I16"/>
    </sheetView>
  </sheetViews>
  <sheetFormatPr defaultColWidth="8.85546875" defaultRowHeight="15" x14ac:dyDescent="0.25"/>
  <cols>
    <col min="1" max="2" width="8.85546875" style="40" customWidth="1"/>
    <col min="3" max="5" width="10.28515625" style="40" bestFit="1" customWidth="1"/>
    <col min="6" max="6" width="8.85546875" style="40" customWidth="1"/>
    <col min="7" max="16384" width="8.85546875" style="40"/>
  </cols>
  <sheetData>
    <row r="1" spans="1:9" x14ac:dyDescent="0.25">
      <c r="A1" s="132" t="s">
        <v>54</v>
      </c>
      <c r="B1" s="131"/>
      <c r="C1" s="131"/>
      <c r="D1" s="131"/>
      <c r="E1" s="131"/>
      <c r="F1" s="131"/>
      <c r="G1" s="131"/>
      <c r="H1" s="131"/>
      <c r="I1" s="131"/>
    </row>
    <row r="2" spans="1:9" x14ac:dyDescent="0.25">
      <c r="A2" s="39"/>
      <c r="B2" s="39"/>
      <c r="C2" s="39"/>
      <c r="D2" s="39"/>
      <c r="E2" s="39"/>
      <c r="F2" s="39"/>
      <c r="G2" s="39"/>
      <c r="H2" s="41" t="s">
        <v>55</v>
      </c>
      <c r="I2" s="39"/>
    </row>
    <row r="3" spans="1:9" x14ac:dyDescent="0.25">
      <c r="A3" s="42" t="s">
        <v>56</v>
      </c>
      <c r="B3" s="39"/>
      <c r="C3" s="39"/>
      <c r="D3" s="39"/>
      <c r="E3" s="39"/>
      <c r="F3" s="39"/>
      <c r="G3" s="42" t="s">
        <v>57</v>
      </c>
      <c r="H3" s="42"/>
      <c r="I3" s="39"/>
    </row>
    <row r="4" spans="1:9" x14ac:dyDescent="0.25">
      <c r="A4" s="133" t="s">
        <v>94</v>
      </c>
      <c r="B4" s="131"/>
      <c r="C4" s="131"/>
      <c r="D4" s="131"/>
      <c r="E4" s="131"/>
      <c r="F4" s="131"/>
      <c r="G4" s="131"/>
      <c r="H4" s="131"/>
      <c r="I4" s="131"/>
    </row>
    <row r="5" spans="1:9" x14ac:dyDescent="0.25">
      <c r="A5" s="53" t="s">
        <v>93</v>
      </c>
    </row>
    <row r="6" spans="1:9" x14ac:dyDescent="0.25">
      <c r="A6" s="43" t="str">
        <f>[0]!Lowest_bidder_item7</f>
        <v>M/s. Vikas Enterprises, Udaipur</v>
      </c>
    </row>
    <row r="7" spans="1:9" x14ac:dyDescent="0.25">
      <c r="A7" s="43"/>
    </row>
    <row r="9" spans="1:9" ht="31.15" customHeight="1" x14ac:dyDescent="0.25">
      <c r="A9" s="44" t="s">
        <v>58</v>
      </c>
      <c r="B9" s="44"/>
      <c r="C9" s="134" t="str">
        <f>'Compare-7'!C3</f>
        <v xml:space="preserve">Electric cabling and maintenance work in Sahelion ki Bari , Udaipur  </v>
      </c>
      <c r="D9" s="131"/>
      <c r="E9" s="131"/>
      <c r="F9" s="131"/>
      <c r="G9" s="131"/>
      <c r="H9" s="131"/>
      <c r="I9" s="131"/>
    </row>
    <row r="10" spans="1:9" x14ac:dyDescent="0.25">
      <c r="A10" s="40" t="s">
        <v>59</v>
      </c>
      <c r="C10" s="40" t="str">
        <f>'Compare-7'!B4</f>
        <v>27/2024-25</v>
      </c>
      <c r="E10" s="40" t="str">
        <f>'Compare-7'!G4</f>
        <v>ITEM-7</v>
      </c>
    </row>
    <row r="11" spans="1:9" x14ac:dyDescent="0.25">
      <c r="A11" s="40" t="s">
        <v>60</v>
      </c>
      <c r="C11" s="45">
        <f>'Compare-7'!F4</f>
        <v>45728</v>
      </c>
    </row>
    <row r="12" spans="1:9" x14ac:dyDescent="0.25">
      <c r="A12" s="40" t="s">
        <v>61</v>
      </c>
      <c r="D12" s="45">
        <f>'Compare-7'!G10</f>
        <v>45740</v>
      </c>
    </row>
    <row r="13" spans="1:9" x14ac:dyDescent="0.25">
      <c r="A13" s="40" t="s">
        <v>62</v>
      </c>
      <c r="E13" s="45">
        <f>D12</f>
        <v>45740</v>
      </c>
    </row>
    <row r="14" spans="1:9" x14ac:dyDescent="0.25">
      <c r="A14" s="40" t="s">
        <v>63</v>
      </c>
    </row>
    <row r="15" spans="1:9" ht="64.900000000000006" customHeight="1" x14ac:dyDescent="0.25">
      <c r="A15" s="135" t="e">
        <f ca="1">_xlfn.CONCAT("       Your tender for the above work has been accepted on behalf of the Governor of Rajasthan @  ",ROUND([0]!percentile_item7,2), "%  ",[0]!Above_Below_item7," amounting to Rs.  ",ROUND([0]!Bid_Amount_item7,0),"/-- In words Rupees. ",NumToWords([0]!Bid_Amount_item7),".")</f>
        <v>#NAME?</v>
      </c>
      <c r="B15" s="131"/>
      <c r="C15" s="131"/>
      <c r="D15" s="131"/>
      <c r="E15" s="131"/>
      <c r="F15" s="131"/>
      <c r="G15" s="131"/>
      <c r="H15" s="131"/>
      <c r="I15" s="131"/>
    </row>
    <row r="16" spans="1:9" ht="66" customHeight="1" x14ac:dyDescent="0.25">
      <c r="A16" s="135" t="s">
        <v>64</v>
      </c>
      <c r="B16" s="131"/>
      <c r="C16" s="131"/>
      <c r="D16" s="131"/>
      <c r="E16" s="131"/>
      <c r="F16" s="131"/>
      <c r="G16" s="131"/>
      <c r="H16" s="131"/>
      <c r="I16" s="131"/>
    </row>
    <row r="18" spans="1:9" x14ac:dyDescent="0.25">
      <c r="A18" s="40" t="s">
        <v>65</v>
      </c>
    </row>
    <row r="19" spans="1:9" x14ac:dyDescent="0.25">
      <c r="A19" s="40" t="s">
        <v>66</v>
      </c>
      <c r="F19" s="130">
        <v>45741</v>
      </c>
      <c r="G19" s="131"/>
    </row>
    <row r="20" spans="1:9" x14ac:dyDescent="0.25">
      <c r="A20" s="40" t="s">
        <v>67</v>
      </c>
      <c r="F20" s="130">
        <v>46015.23</v>
      </c>
      <c r="G20" s="131"/>
    </row>
    <row r="21" spans="1:9" x14ac:dyDescent="0.25">
      <c r="A21" s="40" t="s">
        <v>68</v>
      </c>
    </row>
    <row r="22" spans="1:9" x14ac:dyDescent="0.25">
      <c r="A22" s="40" t="s">
        <v>69</v>
      </c>
    </row>
    <row r="23" spans="1:9" x14ac:dyDescent="0.25">
      <c r="A23" s="40" t="s">
        <v>70</v>
      </c>
    </row>
    <row r="25" spans="1:9" x14ac:dyDescent="0.25">
      <c r="A25" s="40" t="s">
        <v>71</v>
      </c>
    </row>
    <row r="27" spans="1:9" x14ac:dyDescent="0.25">
      <c r="A27" s="40" t="s">
        <v>72</v>
      </c>
    </row>
    <row r="28" spans="1:9" x14ac:dyDescent="0.25">
      <c r="A28" s="40" t="s">
        <v>73</v>
      </c>
    </row>
    <row r="29" spans="1:9" x14ac:dyDescent="0.25">
      <c r="A29" s="42" t="s">
        <v>56</v>
      </c>
      <c r="B29" s="39"/>
      <c r="C29" s="39"/>
      <c r="D29" s="39"/>
      <c r="E29" s="39"/>
      <c r="F29" s="39"/>
      <c r="G29" s="42" t="s">
        <v>57</v>
      </c>
      <c r="H29" s="42"/>
      <c r="I29" s="39"/>
    </row>
    <row r="30" spans="1:9" x14ac:dyDescent="0.25">
      <c r="A30" s="40" t="s">
        <v>74</v>
      </c>
    </row>
    <row r="31" spans="1:9" x14ac:dyDescent="0.25">
      <c r="A31" s="40" t="s">
        <v>75</v>
      </c>
    </row>
    <row r="32" spans="1:9" x14ac:dyDescent="0.25">
      <c r="A32" s="40" t="s">
        <v>76</v>
      </c>
    </row>
    <row r="33" spans="1:1" x14ac:dyDescent="0.25">
      <c r="A33" s="40" t="s">
        <v>77</v>
      </c>
    </row>
    <row r="34" spans="1:1" x14ac:dyDescent="0.25">
      <c r="A34" s="40" t="s">
        <v>78</v>
      </c>
    </row>
    <row r="35" spans="1:1" x14ac:dyDescent="0.25">
      <c r="A35" s="40" t="s">
        <v>79</v>
      </c>
    </row>
    <row r="36" spans="1:1" x14ac:dyDescent="0.25">
      <c r="A36" s="40" t="s">
        <v>80</v>
      </c>
    </row>
    <row r="37" spans="1:1" x14ac:dyDescent="0.25">
      <c r="A37" s="40" t="s">
        <v>81</v>
      </c>
    </row>
    <row r="38" spans="1:1" x14ac:dyDescent="0.25">
      <c r="A38" s="40" t="s">
        <v>82</v>
      </c>
    </row>
    <row r="40" spans="1:1" x14ac:dyDescent="0.25">
      <c r="A40" s="40" t="s">
        <v>83</v>
      </c>
    </row>
    <row r="41" spans="1:1" x14ac:dyDescent="0.25">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I28"/>
  <sheetViews>
    <sheetView view="pageBreakPreview" zoomScaleNormal="100" zoomScaleSheetLayoutView="100" workbookViewId="0">
      <selection activeCell="A16" sqref="A16:I16"/>
    </sheetView>
  </sheetViews>
  <sheetFormatPr defaultColWidth="8.85546875" defaultRowHeight="15" x14ac:dyDescent="0.25"/>
  <cols>
    <col min="1" max="2" width="8.85546875" style="40" customWidth="1"/>
    <col min="3" max="5" width="11.28515625" style="40" bestFit="1" customWidth="1"/>
    <col min="6" max="6" width="8.85546875" style="40" customWidth="1"/>
    <col min="7" max="16384" width="8.85546875" style="40"/>
  </cols>
  <sheetData>
    <row r="1" spans="1:9" ht="15.75" x14ac:dyDescent="0.25">
      <c r="A1" s="138" t="s">
        <v>54</v>
      </c>
      <c r="B1" s="137"/>
      <c r="C1" s="137"/>
      <c r="D1" s="137"/>
      <c r="E1" s="137"/>
      <c r="F1" s="137"/>
      <c r="G1" s="137"/>
      <c r="H1" s="137"/>
      <c r="I1" s="137"/>
    </row>
    <row r="2" spans="1:9" x14ac:dyDescent="0.25">
      <c r="A2" s="42" t="s">
        <v>56</v>
      </c>
      <c r="B2" s="39"/>
      <c r="C2" s="39"/>
      <c r="D2" s="39"/>
      <c r="E2" s="39"/>
      <c r="F2" s="39"/>
      <c r="G2" s="42" t="s">
        <v>57</v>
      </c>
      <c r="H2" s="42"/>
      <c r="I2" s="39"/>
    </row>
    <row r="3" spans="1:9" ht="18.75" x14ac:dyDescent="0.3">
      <c r="A3" s="139" t="s">
        <v>85</v>
      </c>
      <c r="B3" s="140"/>
      <c r="C3" s="140"/>
      <c r="D3" s="140"/>
      <c r="E3" s="140"/>
      <c r="F3" s="140"/>
      <c r="G3" s="140"/>
      <c r="H3" s="140"/>
      <c r="I3" s="140"/>
    </row>
    <row r="4" spans="1:9" x14ac:dyDescent="0.25">
      <c r="A4" s="53" t="s">
        <v>93</v>
      </c>
      <c r="B4" s="40" t="str">
        <f>'Compare-1'!B4</f>
        <v>27/2024-25</v>
      </c>
    </row>
    <row r="5" spans="1:9" x14ac:dyDescent="0.25">
      <c r="A5" s="43" t="str">
        <f>[0]!Lowest_bidder_item7</f>
        <v>M/s. Vikas Enterprises, Udaipur</v>
      </c>
    </row>
    <row r="6" spans="1:9" x14ac:dyDescent="0.25">
      <c r="A6" s="43"/>
    </row>
    <row r="8" spans="1:9" s="47" customFormat="1" ht="31.15" customHeight="1" x14ac:dyDescent="0.25">
      <c r="A8" s="51" t="s">
        <v>89</v>
      </c>
      <c r="B8" s="46"/>
      <c r="C8" s="141" t="s">
        <v>3</v>
      </c>
      <c r="D8" s="137"/>
      <c r="E8" s="137"/>
      <c r="F8" s="137"/>
      <c r="G8" s="137"/>
      <c r="H8" s="137"/>
      <c r="I8" s="137"/>
    </row>
    <row r="9" spans="1:9" s="47" customFormat="1" ht="15.6" customHeight="1" x14ac:dyDescent="0.25">
      <c r="A9" s="47" t="s">
        <v>59</v>
      </c>
      <c r="C9" s="47" t="str">
        <f>'Compare-7'!B4</f>
        <v>27/2024-25</v>
      </c>
      <c r="E9" s="52" t="str">
        <f>'Compare-7'!G4</f>
        <v>ITEM-7</v>
      </c>
    </row>
    <row r="10" spans="1:9" s="47" customFormat="1" ht="15.6" customHeight="1" x14ac:dyDescent="0.25">
      <c r="A10" s="47" t="s">
        <v>60</v>
      </c>
      <c r="C10" s="48">
        <f>'Compare-7'!F4</f>
        <v>45728</v>
      </c>
    </row>
    <row r="11" spans="1:9" s="47" customFormat="1" ht="15.6" customHeight="1" x14ac:dyDescent="0.25">
      <c r="A11" s="47" t="s">
        <v>61</v>
      </c>
      <c r="D11" s="48">
        <f>'Compare-7'!G10</f>
        <v>45740</v>
      </c>
    </row>
    <row r="12" spans="1:9" s="47" customFormat="1" ht="15.6" customHeight="1" x14ac:dyDescent="0.25">
      <c r="A12" s="47" t="s">
        <v>62</v>
      </c>
      <c r="E12" s="48">
        <f>D11</f>
        <v>45740</v>
      </c>
    </row>
    <row r="13" spans="1:9" s="47" customFormat="1" ht="15.6" customHeight="1" x14ac:dyDescent="0.25">
      <c r="A13" s="47" t="s">
        <v>63</v>
      </c>
    </row>
    <row r="14" spans="1:9" s="47" customFormat="1" ht="74.45" customHeight="1" x14ac:dyDescent="0.25">
      <c r="A14" s="136" t="e">
        <f ca="1">_xlfn.CONCAT("       Your tender for the above work has been accepted on behalf of the Governor of Rajasthan @  ",ROUND([0]!percentile_item7,2), "%  ",[0]!Above_Below_item7," amounting to Rs.  ",ROUND([0]!Bid_Amount_item7,0),"/-- In words Rupees. ",NumToWords([0]!Bid_Amount_item7),"by the undersingned Executive Engineer PWD Electric Divistion Udaipur.")</f>
        <v>#NAME?</v>
      </c>
      <c r="B14" s="137"/>
      <c r="C14" s="137"/>
      <c r="D14" s="137"/>
      <c r="E14" s="137"/>
      <c r="F14" s="137"/>
      <c r="G14" s="137"/>
      <c r="H14" s="137"/>
      <c r="I14" s="137"/>
    </row>
    <row r="15" spans="1:9" s="47" customFormat="1" ht="109.9" customHeight="1" x14ac:dyDescent="0.25">
      <c r="A15" s="136" t="s">
        <v>86</v>
      </c>
      <c r="B15" s="137"/>
      <c r="C15" s="137"/>
      <c r="D15" s="137"/>
      <c r="E15" s="137"/>
      <c r="F15" s="137"/>
      <c r="G15" s="137"/>
      <c r="H15" s="137"/>
      <c r="I15" s="137"/>
    </row>
    <row r="16" spans="1:9" s="47" customFormat="1" ht="15.6" customHeight="1" x14ac:dyDescent="0.25">
      <c r="A16" s="47" t="s">
        <v>87</v>
      </c>
    </row>
    <row r="17" spans="1:9" s="47" customFormat="1" ht="15.6" customHeight="1" x14ac:dyDescent="0.25"/>
    <row r="18" spans="1:9" s="47" customFormat="1" ht="15.6" customHeight="1" x14ac:dyDescent="0.25">
      <c r="A18" s="47" t="s">
        <v>71</v>
      </c>
    </row>
    <row r="19" spans="1:9" s="47" customFormat="1" ht="15.6" customHeight="1" x14ac:dyDescent="0.25"/>
    <row r="20" spans="1:9" s="47" customFormat="1" ht="15.6" customHeight="1" x14ac:dyDescent="0.25">
      <c r="A20" s="47" t="s">
        <v>72</v>
      </c>
    </row>
    <row r="21" spans="1:9" s="47" customFormat="1" ht="15.6" customHeight="1" x14ac:dyDescent="0.25">
      <c r="A21" s="47" t="s">
        <v>73</v>
      </c>
    </row>
    <row r="22" spans="1:9" s="47" customFormat="1" ht="15.6" customHeight="1" x14ac:dyDescent="0.25">
      <c r="A22" s="49" t="s">
        <v>56</v>
      </c>
      <c r="B22" s="49"/>
      <c r="C22" s="49"/>
      <c r="D22" s="49"/>
      <c r="E22" s="49"/>
      <c r="F22" s="49"/>
      <c r="G22" s="49" t="s">
        <v>57</v>
      </c>
      <c r="H22" s="49"/>
      <c r="I22" s="49"/>
    </row>
    <row r="23" spans="1:9" s="47" customFormat="1" ht="15.6" customHeight="1" x14ac:dyDescent="0.25">
      <c r="A23" s="47" t="s">
        <v>74</v>
      </c>
    </row>
    <row r="24" spans="1:9" s="47" customFormat="1" ht="15.6" customHeight="1" x14ac:dyDescent="0.25">
      <c r="A24" s="47" t="s">
        <v>88</v>
      </c>
    </row>
    <row r="25" spans="1:9" s="47" customFormat="1" ht="15.6" customHeight="1" x14ac:dyDescent="0.25">
      <c r="A25" s="47" t="s">
        <v>90</v>
      </c>
    </row>
    <row r="26" spans="1:9" s="47" customFormat="1" ht="15.6" customHeight="1" x14ac:dyDescent="0.25"/>
    <row r="27" spans="1:9" x14ac:dyDescent="0.25">
      <c r="A27" s="40" t="s">
        <v>83</v>
      </c>
    </row>
    <row r="28" spans="1:9" x14ac:dyDescent="0.25">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G25"/>
  <sheetViews>
    <sheetView view="pageBreakPreview" zoomScaleNormal="100" zoomScaleSheetLayoutView="100" workbookViewId="0">
      <selection activeCell="H18" sqref="H18"/>
    </sheetView>
  </sheetViews>
  <sheetFormatPr defaultColWidth="9.140625" defaultRowHeight="15" x14ac:dyDescent="0.25"/>
  <cols>
    <col min="1" max="1" width="9.140625" style="6" customWidth="1"/>
    <col min="2" max="2" width="49.28515625" style="6" customWidth="1"/>
    <col min="3" max="3" width="12.7109375" style="6" customWidth="1"/>
    <col min="4" max="4" width="9" style="6" customWidth="1"/>
    <col min="5" max="5" width="6.7109375" style="22" customWidth="1"/>
    <col min="6" max="6" width="26" style="6" customWidth="1"/>
    <col min="7" max="7" width="14.28515625" style="6" customWidth="1"/>
    <col min="8" max="16384" width="9.140625" style="6"/>
  </cols>
  <sheetData>
    <row r="1" spans="1:7" x14ac:dyDescent="0.25">
      <c r="A1" s="102" t="s">
        <v>0</v>
      </c>
      <c r="B1" s="103"/>
      <c r="C1" s="103"/>
      <c r="D1" s="103"/>
      <c r="E1" s="103"/>
      <c r="F1" s="103"/>
      <c r="G1" s="103"/>
    </row>
    <row r="2" spans="1:7" ht="15.6" customHeight="1" x14ac:dyDescent="0.25">
      <c r="A2" s="104" t="s">
        <v>1</v>
      </c>
      <c r="B2" s="103"/>
      <c r="C2" s="103"/>
      <c r="D2" s="103"/>
      <c r="E2" s="103"/>
      <c r="F2" s="103"/>
      <c r="G2" s="103"/>
    </row>
    <row r="3" spans="1:7" ht="31.15" customHeight="1" x14ac:dyDescent="0.25">
      <c r="A3" s="7" t="s">
        <v>2</v>
      </c>
      <c r="C3" s="106" t="s">
        <v>3</v>
      </c>
      <c r="D3" s="106"/>
      <c r="E3" s="106"/>
      <c r="F3" s="106"/>
      <c r="G3" s="106"/>
    </row>
    <row r="4" spans="1:7" x14ac:dyDescent="0.25">
      <c r="A4" s="58" t="s">
        <v>4</v>
      </c>
      <c r="B4" s="77" t="str">
        <f>'Compare-1'!B4</f>
        <v>27/2024-25</v>
      </c>
      <c r="C4" s="142" t="s">
        <v>5</v>
      </c>
      <c r="D4" s="143"/>
      <c r="E4" s="143"/>
      <c r="F4" s="77">
        <f>'Compare-1'!F4</f>
        <v>45728</v>
      </c>
      <c r="G4" s="75" t="s">
        <v>106</v>
      </c>
    </row>
    <row r="5" spans="1:7" s="9" customFormat="1" x14ac:dyDescent="0.2">
      <c r="A5" s="62" t="s">
        <v>92</v>
      </c>
      <c r="B5" s="62"/>
      <c r="C5" s="144">
        <f>C12</f>
        <v>641694</v>
      </c>
      <c r="D5" s="143"/>
      <c r="E5" s="63"/>
      <c r="F5" s="64" t="s">
        <v>98</v>
      </c>
      <c r="G5" s="65">
        <v>13000</v>
      </c>
    </row>
    <row r="6" spans="1:7" s="9" customFormat="1" x14ac:dyDescent="0.2">
      <c r="A6" s="62" t="s">
        <v>7</v>
      </c>
      <c r="B6" s="62"/>
      <c r="C6" s="85">
        <f>ROUNDUP(F17,0)</f>
        <v>635278</v>
      </c>
      <c r="D6" s="86"/>
      <c r="E6" s="66"/>
      <c r="F6" s="64" t="s">
        <v>91</v>
      </c>
      <c r="G6" s="67">
        <v>9</v>
      </c>
    </row>
    <row r="7" spans="1:7" s="9" customFormat="1" x14ac:dyDescent="0.2">
      <c r="A7" s="87" t="s">
        <v>8</v>
      </c>
      <c r="B7" s="84"/>
      <c r="C7" s="87" t="s">
        <v>9</v>
      </c>
      <c r="D7" s="84"/>
      <c r="E7" s="57"/>
      <c r="F7" s="68" t="s">
        <v>10</v>
      </c>
      <c r="G7" s="69">
        <v>4</v>
      </c>
    </row>
    <row r="8" spans="1:7" s="9" customFormat="1" x14ac:dyDescent="0.2">
      <c r="A8" s="87" t="s">
        <v>11</v>
      </c>
      <c r="B8" s="84"/>
      <c r="C8" s="57" t="s">
        <v>12</v>
      </c>
      <c r="D8" s="70"/>
      <c r="E8" s="57"/>
      <c r="F8" s="68" t="s">
        <v>13</v>
      </c>
      <c r="G8" s="64">
        <v>4</v>
      </c>
    </row>
    <row r="9" spans="1:7" s="9" customFormat="1" x14ac:dyDescent="0.2">
      <c r="A9" s="87" t="s">
        <v>14</v>
      </c>
      <c r="B9" s="84"/>
      <c r="C9" s="88">
        <f>C6</f>
        <v>635278</v>
      </c>
      <c r="D9" s="86"/>
      <c r="E9" s="71"/>
      <c r="F9" s="68" t="s">
        <v>15</v>
      </c>
      <c r="G9" s="76">
        <f>F4</f>
        <v>45728</v>
      </c>
    </row>
    <row r="10" spans="1:7" s="9" customFormat="1" x14ac:dyDescent="0.2">
      <c r="A10" s="87" t="s">
        <v>16</v>
      </c>
      <c r="B10" s="84"/>
      <c r="C10" s="87" t="s">
        <v>17</v>
      </c>
      <c r="D10" s="84"/>
      <c r="E10" s="84"/>
      <c r="F10" s="68" t="s">
        <v>18</v>
      </c>
      <c r="G10" s="79">
        <f>'Compare-1'!G8</f>
        <v>45740</v>
      </c>
    </row>
    <row r="11" spans="1:7" ht="27.75" customHeight="1" x14ac:dyDescent="0.25">
      <c r="A11" s="10" t="s">
        <v>19</v>
      </c>
      <c r="B11" s="11" t="s">
        <v>20</v>
      </c>
      <c r="C11" s="11" t="s">
        <v>96</v>
      </c>
      <c r="D11" s="89" t="s">
        <v>21</v>
      </c>
      <c r="E11" s="90"/>
      <c r="F11" s="101" t="s">
        <v>97</v>
      </c>
      <c r="G11" s="98"/>
    </row>
    <row r="12" spans="1:7" ht="22.9" customHeight="1" x14ac:dyDescent="0.25">
      <c r="A12" s="19">
        <v>1</v>
      </c>
      <c r="B12" s="12" t="s">
        <v>100</v>
      </c>
      <c r="C12" s="19">
        <v>641694</v>
      </c>
      <c r="D12" s="23">
        <v>0</v>
      </c>
      <c r="E12" s="29" t="s">
        <v>22</v>
      </c>
      <c r="F12" s="97">
        <f>IF(E12="below",ROUNDUP(C12*(1-D12/100),0),ROUNDUP(C12*(1+D12/100),0))</f>
        <v>641694</v>
      </c>
      <c r="G12" s="98"/>
    </row>
    <row r="13" spans="1:7" ht="18.600000000000001" customHeight="1" x14ac:dyDescent="0.25">
      <c r="A13" s="19">
        <v>2</v>
      </c>
      <c r="B13" s="12" t="s">
        <v>101</v>
      </c>
      <c r="C13" s="54">
        <f>$C$12</f>
        <v>641694</v>
      </c>
      <c r="D13" s="23">
        <v>1</v>
      </c>
      <c r="E13" s="29" t="s">
        <v>22</v>
      </c>
      <c r="F13" s="97">
        <f t="shared" ref="F13:F15" si="0">IF(E13="below",ROUNDUP(C13*(1-D13/100),0),ROUNDUP(C13*(1+D13/100),0))</f>
        <v>635278</v>
      </c>
      <c r="G13" s="98"/>
    </row>
    <row r="14" spans="1:7" ht="18.600000000000001" customHeight="1" x14ac:dyDescent="0.25">
      <c r="A14" s="19">
        <v>3</v>
      </c>
      <c r="B14" s="12" t="s">
        <v>102</v>
      </c>
      <c r="C14" s="54">
        <f>$C$12</f>
        <v>641694</v>
      </c>
      <c r="D14" s="23">
        <v>1</v>
      </c>
      <c r="E14" s="29" t="s">
        <v>22</v>
      </c>
      <c r="F14" s="97">
        <f t="shared" si="0"/>
        <v>635278</v>
      </c>
      <c r="G14" s="98"/>
    </row>
    <row r="15" spans="1:7" ht="21" customHeight="1" x14ac:dyDescent="0.25">
      <c r="A15" s="19">
        <v>4</v>
      </c>
      <c r="B15" s="12" t="s">
        <v>103</v>
      </c>
      <c r="C15" s="54">
        <f t="shared" ref="C15" si="1">$C$12</f>
        <v>641694</v>
      </c>
      <c r="D15" s="23">
        <v>0.1</v>
      </c>
      <c r="E15" s="29" t="s">
        <v>22</v>
      </c>
      <c r="F15" s="97">
        <f t="shared" si="0"/>
        <v>641053</v>
      </c>
      <c r="G15" s="98"/>
    </row>
    <row r="16" spans="1:7" ht="4.1500000000000004" customHeight="1" x14ac:dyDescent="0.25">
      <c r="D16" s="22"/>
      <c r="E16" s="6"/>
    </row>
    <row r="17" spans="1:7" ht="15" customHeight="1" thickBot="1" x14ac:dyDescent="0.3">
      <c r="A17" s="25" t="s">
        <v>23</v>
      </c>
      <c r="B17" s="26" t="str">
        <f>INDEX(B12:B15,MATCH(MIN(F12:F15),F12:F15,0))</f>
        <v>M/s. Powertech Engineer, Rajsamand</v>
      </c>
      <c r="C17" s="26"/>
      <c r="D17" s="27">
        <f>INDEX(D12:D15,MATCH(MIN(F12:F15),F12:F15,0))</f>
        <v>1</v>
      </c>
      <c r="E17" s="26" t="str">
        <f>INDEX(E12:E15,MATCH(MIN(F12:F15),F12:F15,0))</f>
        <v>BELOW</v>
      </c>
      <c r="F17" s="74">
        <f>ROUND(MIN(F12:F15),0)</f>
        <v>635278</v>
      </c>
    </row>
    <row r="18" spans="1:7" ht="57" customHeight="1" x14ac:dyDescent="0.25">
      <c r="A18" s="8"/>
      <c r="B18" s="8"/>
      <c r="C18" s="91" t="e">
        <f ca="1">_xlfn.CONCAT("The tender of the lowest bidder "," ", Lowest_bidder_item8," @ ",ROUND(percentile_item8,2),"%  ",Above_Below_item8," amounting to Rs.  ",ROUND(Bid_Amount_item8,0),"/-- In words Rupees. ",NumToWords(Bid_Amount_item8),".")</f>
        <v>#NAME?</v>
      </c>
      <c r="D18" s="92"/>
      <c r="E18" s="92"/>
      <c r="F18" s="93"/>
    </row>
    <row r="19" spans="1:7" ht="13.15" customHeight="1" x14ac:dyDescent="0.25">
      <c r="A19" s="8"/>
      <c r="B19" s="8"/>
      <c r="C19" s="28"/>
      <c r="D19" s="99"/>
      <c r="E19" s="81"/>
      <c r="F19" s="100"/>
    </row>
    <row r="20" spans="1:7" ht="15" customHeight="1" thickBot="1" x14ac:dyDescent="0.3">
      <c r="A20" s="8"/>
      <c r="B20" s="8"/>
      <c r="C20" s="94" t="s">
        <v>24</v>
      </c>
      <c r="D20" s="95"/>
      <c r="E20" s="95"/>
      <c r="F20" s="96"/>
    </row>
    <row r="21" spans="1:7" ht="15" customHeight="1" x14ac:dyDescent="0.25">
      <c r="A21" s="8"/>
      <c r="B21" s="8"/>
      <c r="C21" s="50"/>
      <c r="D21" s="73"/>
      <c r="E21" s="73"/>
      <c r="F21" s="73"/>
    </row>
    <row r="22" spans="1:7" ht="15" customHeight="1" x14ac:dyDescent="0.25">
      <c r="A22" s="8"/>
      <c r="B22" s="8"/>
      <c r="C22" s="50"/>
      <c r="D22" s="73"/>
      <c r="E22" s="73"/>
      <c r="F22" s="73"/>
    </row>
    <row r="23" spans="1:7" x14ac:dyDescent="0.25">
      <c r="D23" s="22"/>
      <c r="E23" s="6"/>
      <c r="F23" s="82"/>
      <c r="G23" s="81"/>
    </row>
    <row r="24" spans="1:7" s="13" customFormat="1" ht="18" customHeight="1" x14ac:dyDescent="0.3">
      <c r="A24" s="80" t="s">
        <v>25</v>
      </c>
      <c r="B24" s="81"/>
      <c r="C24" s="81"/>
      <c r="D24" s="81"/>
      <c r="E24" s="81"/>
      <c r="F24" s="81"/>
      <c r="G24" s="81"/>
    </row>
    <row r="25" spans="1:7" s="13" customFormat="1" ht="18" customHeight="1" x14ac:dyDescent="0.3">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E22"/>
  <sheetViews>
    <sheetView view="pageBreakPreview" topLeftCell="A13" zoomScaleNormal="100" zoomScaleSheetLayoutView="100" workbookViewId="0"/>
  </sheetViews>
  <sheetFormatPr defaultRowHeight="15" x14ac:dyDescent="0.25"/>
  <cols>
    <col min="1" max="1" width="8" customWidth="1"/>
    <col min="2" max="2" width="15.85546875" style="16" customWidth="1"/>
    <col min="3" max="3" width="8.85546875" customWidth="1"/>
    <col min="4" max="4" width="4.85546875" customWidth="1"/>
    <col min="5" max="5" width="62.42578125" customWidth="1"/>
  </cols>
  <sheetData>
    <row r="1" spans="1:5" ht="16.5" customHeight="1" x14ac:dyDescent="0.25">
      <c r="A1" s="127" t="s">
        <v>26</v>
      </c>
      <c r="B1" s="114"/>
      <c r="C1" s="115"/>
      <c r="D1" s="115"/>
      <c r="E1" s="115"/>
    </row>
    <row r="2" spans="1:5" ht="35.1" customHeight="1" x14ac:dyDescent="0.25">
      <c r="A2" s="1">
        <v>1</v>
      </c>
      <c r="B2" s="116" t="s">
        <v>27</v>
      </c>
      <c r="C2" s="117"/>
      <c r="D2" s="118"/>
      <c r="E2" s="3"/>
    </row>
    <row r="3" spans="1:5" s="16" customFormat="1" ht="15" customHeight="1" x14ac:dyDescent="0.25">
      <c r="A3" s="55" t="s">
        <v>28</v>
      </c>
      <c r="B3" s="119" t="s">
        <v>29</v>
      </c>
      <c r="C3" s="117"/>
      <c r="D3" s="118"/>
      <c r="E3" s="30" t="str">
        <f>'Compare-8'!C3</f>
        <v xml:space="preserve">Electric cabling and maintenance work in Sahelion ki Bari , Udaipur  </v>
      </c>
    </row>
    <row r="4" spans="1:5" ht="15" customHeight="1" x14ac:dyDescent="0.25">
      <c r="A4" s="4"/>
      <c r="B4" s="128" t="str">
        <f>'Compare-1'!B4</f>
        <v>27/2024-25</v>
      </c>
      <c r="C4" s="117"/>
      <c r="D4" s="118"/>
      <c r="E4" s="21"/>
    </row>
    <row r="5" spans="1:5" ht="15" customHeight="1" x14ac:dyDescent="0.25">
      <c r="A5" s="1">
        <v>3</v>
      </c>
      <c r="B5" s="119" t="s">
        <v>31</v>
      </c>
      <c r="C5" s="117"/>
      <c r="D5" s="118"/>
      <c r="E5" s="3"/>
    </row>
    <row r="6" spans="1:5" ht="15" customHeight="1" x14ac:dyDescent="0.25">
      <c r="A6" s="1"/>
      <c r="B6" s="129" t="s">
        <v>32</v>
      </c>
      <c r="C6" s="117"/>
      <c r="D6" s="118"/>
      <c r="E6" s="3">
        <f>'Compare-8'!C5</f>
        <v>641694</v>
      </c>
    </row>
    <row r="7" spans="1:5" ht="50.45" customHeight="1" x14ac:dyDescent="0.25">
      <c r="A7" s="1">
        <v>4</v>
      </c>
      <c r="B7" s="119" t="s">
        <v>33</v>
      </c>
      <c r="C7" s="117"/>
      <c r="D7" s="118"/>
      <c r="E7" s="3"/>
    </row>
    <row r="8" spans="1:5" ht="35.1" customHeight="1" x14ac:dyDescent="0.25">
      <c r="A8" s="1">
        <v>5</v>
      </c>
      <c r="B8" s="116" t="s">
        <v>15</v>
      </c>
      <c r="C8" s="117"/>
      <c r="D8" s="118"/>
      <c r="E8" s="20">
        <f>'Compare-8'!F4</f>
        <v>45728</v>
      </c>
    </row>
    <row r="9" spans="1:5" ht="34.9" customHeight="1" x14ac:dyDescent="0.25">
      <c r="A9" s="1">
        <v>6</v>
      </c>
      <c r="B9" s="116" t="s">
        <v>34</v>
      </c>
      <c r="C9" s="117"/>
      <c r="D9" s="118"/>
      <c r="E9" s="20">
        <f>'Compare-8'!G10</f>
        <v>45740</v>
      </c>
    </row>
    <row r="10" spans="1:5" ht="35.1" customHeight="1" x14ac:dyDescent="0.25">
      <c r="A10" s="1">
        <v>7</v>
      </c>
      <c r="B10" s="116" t="s">
        <v>35</v>
      </c>
      <c r="C10" s="117"/>
      <c r="D10" s="118"/>
      <c r="E10" s="5">
        <f>'Compare-8'!G7</f>
        <v>4</v>
      </c>
    </row>
    <row r="11" spans="1:5" ht="34.9" customHeight="1" x14ac:dyDescent="0.25">
      <c r="A11" s="1">
        <v>8</v>
      </c>
      <c r="B11" s="116" t="s">
        <v>36</v>
      </c>
      <c r="C11" s="117"/>
      <c r="D11" s="118"/>
      <c r="E11" s="5">
        <f>'Compare-8'!G8</f>
        <v>4</v>
      </c>
    </row>
    <row r="12" spans="1:5" ht="34.9" customHeight="1" x14ac:dyDescent="0.25">
      <c r="A12" s="1">
        <v>9</v>
      </c>
      <c r="B12" s="119" t="s">
        <v>37</v>
      </c>
      <c r="C12" s="117"/>
      <c r="D12" s="118"/>
      <c r="E12" s="2" t="s">
        <v>38</v>
      </c>
    </row>
    <row r="13" spans="1:5" ht="35.1" customHeight="1" x14ac:dyDescent="0.25">
      <c r="A13" s="1">
        <v>10</v>
      </c>
      <c r="B13" s="116" t="s">
        <v>39</v>
      </c>
      <c r="C13" s="117"/>
      <c r="D13" s="118"/>
      <c r="E13" s="37" t="s">
        <v>9</v>
      </c>
    </row>
    <row r="14" spans="1:5" ht="40.5" customHeight="1" x14ac:dyDescent="0.25">
      <c r="A14" s="55" t="s">
        <v>40</v>
      </c>
      <c r="B14" s="120" t="s">
        <v>41</v>
      </c>
      <c r="C14" s="121"/>
      <c r="D14" s="121"/>
      <c r="E14" s="38" t="str">
        <f>_xlfn.CONCAT(TEXT(ROUND([0]!percentile_item8,4), "#,##0.00"), " % ", [0]!Above_Below_item8, ". No Condition.")</f>
        <v>1.00 % BELOW. No Condition.</v>
      </c>
    </row>
    <row r="15" spans="1:5" ht="44.25" customHeight="1" x14ac:dyDescent="0.25">
      <c r="A15" s="55" t="s">
        <v>42</v>
      </c>
      <c r="B15" s="119" t="s">
        <v>43</v>
      </c>
      <c r="C15" s="117"/>
      <c r="D15" s="118"/>
      <c r="E15" s="33" t="s">
        <v>44</v>
      </c>
    </row>
    <row r="16" spans="1:5" ht="35.1" customHeight="1" x14ac:dyDescent="0.25">
      <c r="A16" s="1">
        <v>13</v>
      </c>
      <c r="B16" s="116" t="s">
        <v>45</v>
      </c>
      <c r="C16" s="117"/>
      <c r="D16" s="118"/>
      <c r="E16" s="15" t="str">
        <f>[0]!Lowest_bidder_item8</f>
        <v>M/s. Powertech Engineer, Rajsamand</v>
      </c>
    </row>
    <row r="17" spans="1:5" ht="52.15" customHeight="1" x14ac:dyDescent="0.25">
      <c r="A17" s="56" t="s">
        <v>46</v>
      </c>
      <c r="B17" s="125" t="s">
        <v>47</v>
      </c>
      <c r="C17" s="121"/>
      <c r="D17" s="126"/>
      <c r="E17" s="2" t="s">
        <v>48</v>
      </c>
    </row>
    <row r="18" spans="1:5" x14ac:dyDescent="0.25">
      <c r="A18" s="35">
        <v>15</v>
      </c>
      <c r="B18" s="122" t="s">
        <v>49</v>
      </c>
      <c r="C18" s="123"/>
      <c r="D18" s="124"/>
      <c r="E18" s="31" t="s">
        <v>50</v>
      </c>
    </row>
    <row r="19" spans="1:5" x14ac:dyDescent="0.25">
      <c r="A19" s="36"/>
      <c r="B19" s="107" t="s">
        <v>51</v>
      </c>
      <c r="C19" s="108"/>
      <c r="D19" s="109"/>
      <c r="E19" s="32">
        <f>'Compare-8'!G10+20</f>
        <v>45760</v>
      </c>
    </row>
    <row r="20" spans="1:5" x14ac:dyDescent="0.25">
      <c r="A20" s="34">
        <v>16</v>
      </c>
      <c r="B20" s="110" t="s">
        <v>52</v>
      </c>
      <c r="C20" s="111"/>
      <c r="D20" s="112"/>
      <c r="E20" s="2" t="s">
        <v>53</v>
      </c>
    </row>
    <row r="21" spans="1:5" ht="35.1" customHeight="1" x14ac:dyDescent="0.25">
      <c r="A21" s="17"/>
      <c r="B21" s="18"/>
      <c r="C21" s="18"/>
      <c r="D21" s="18"/>
      <c r="E21" s="18"/>
    </row>
    <row r="22" spans="1:5" ht="15" customHeight="1" x14ac:dyDescent="0.25">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I41"/>
  <sheetViews>
    <sheetView view="pageBreakPreview" topLeftCell="A7" zoomScaleNormal="100" zoomScaleSheetLayoutView="100" workbookViewId="0"/>
  </sheetViews>
  <sheetFormatPr defaultColWidth="8.85546875" defaultRowHeight="15" x14ac:dyDescent="0.25"/>
  <cols>
    <col min="1" max="2" width="8.85546875" style="40" customWidth="1"/>
    <col min="3" max="5" width="10.28515625" style="40" bestFit="1" customWidth="1"/>
    <col min="6" max="6" width="8.85546875" style="40" customWidth="1"/>
    <col min="7" max="16384" width="8.85546875" style="40"/>
  </cols>
  <sheetData>
    <row r="1" spans="1:9" x14ac:dyDescent="0.25">
      <c r="A1" s="132" t="s">
        <v>54</v>
      </c>
      <c r="B1" s="131"/>
      <c r="C1" s="131"/>
      <c r="D1" s="131"/>
      <c r="E1" s="131"/>
      <c r="F1" s="131"/>
      <c r="G1" s="131"/>
      <c r="H1" s="131"/>
      <c r="I1" s="131"/>
    </row>
    <row r="2" spans="1:9" x14ac:dyDescent="0.25">
      <c r="A2" s="39"/>
      <c r="B2" s="39"/>
      <c r="C2" s="39"/>
      <c r="D2" s="39"/>
      <c r="E2" s="39"/>
      <c r="F2" s="39"/>
      <c r="G2" s="39"/>
      <c r="H2" s="41" t="s">
        <v>55</v>
      </c>
      <c r="I2" s="39"/>
    </row>
    <row r="3" spans="1:9" x14ac:dyDescent="0.25">
      <c r="A3" s="42" t="s">
        <v>56</v>
      </c>
      <c r="B3" s="39"/>
      <c r="C3" s="39"/>
      <c r="D3" s="39"/>
      <c r="E3" s="39"/>
      <c r="F3" s="39"/>
      <c r="G3" s="42" t="s">
        <v>57</v>
      </c>
      <c r="H3" s="42"/>
      <c r="I3" s="39"/>
    </row>
    <row r="4" spans="1:9" x14ac:dyDescent="0.25">
      <c r="A4" s="133" t="s">
        <v>94</v>
      </c>
      <c r="B4" s="131"/>
      <c r="C4" s="131"/>
      <c r="D4" s="131"/>
      <c r="E4" s="131"/>
      <c r="F4" s="131"/>
      <c r="G4" s="131"/>
      <c r="H4" s="131"/>
      <c r="I4" s="131"/>
    </row>
    <row r="5" spans="1:9" x14ac:dyDescent="0.25">
      <c r="A5" s="53" t="s">
        <v>93</v>
      </c>
    </row>
    <row r="6" spans="1:9" x14ac:dyDescent="0.25">
      <c r="A6" s="43" t="str">
        <f>[0]!Lowest_bidder_item8</f>
        <v>M/s. Powertech Engineer, Rajsamand</v>
      </c>
    </row>
    <row r="7" spans="1:9" x14ac:dyDescent="0.25">
      <c r="A7" s="43"/>
    </row>
    <row r="9" spans="1:9" ht="31.15" customHeight="1" x14ac:dyDescent="0.25">
      <c r="A9" s="44" t="s">
        <v>58</v>
      </c>
      <c r="B9" s="44"/>
      <c r="C9" s="134" t="str">
        <f>'Compare-8'!C3</f>
        <v xml:space="preserve">Electric cabling and maintenance work in Sahelion ki Bari , Udaipur  </v>
      </c>
      <c r="D9" s="131"/>
      <c r="E9" s="131"/>
      <c r="F9" s="131"/>
      <c r="G9" s="131"/>
      <c r="H9" s="131"/>
      <c r="I9" s="131"/>
    </row>
    <row r="10" spans="1:9" x14ac:dyDescent="0.25">
      <c r="A10" s="40" t="s">
        <v>59</v>
      </c>
      <c r="C10" s="40" t="str">
        <f>'Compare-8'!B4</f>
        <v>27/2024-25</v>
      </c>
      <c r="E10" s="40" t="str">
        <f>'Compare-8'!G4</f>
        <v>ITEM-8</v>
      </c>
    </row>
    <row r="11" spans="1:9" x14ac:dyDescent="0.25">
      <c r="A11" s="40" t="s">
        <v>60</v>
      </c>
      <c r="C11" s="45">
        <f>'Compare-8'!F4</f>
        <v>45728</v>
      </c>
    </row>
    <row r="12" spans="1:9" x14ac:dyDescent="0.25">
      <c r="A12" s="40" t="s">
        <v>61</v>
      </c>
      <c r="D12" s="45">
        <f>'Compare-8'!G10</f>
        <v>45740</v>
      </c>
    </row>
    <row r="13" spans="1:9" x14ac:dyDescent="0.25">
      <c r="A13" s="40" t="s">
        <v>62</v>
      </c>
      <c r="E13" s="45">
        <f>D12</f>
        <v>45740</v>
      </c>
    </row>
    <row r="14" spans="1:9" x14ac:dyDescent="0.25">
      <c r="A14" s="40" t="s">
        <v>63</v>
      </c>
    </row>
    <row r="15" spans="1:9" ht="64.900000000000006" customHeight="1" x14ac:dyDescent="0.25">
      <c r="A15" s="135" t="e">
        <f ca="1">_xlfn.CONCAT("       Your tender for the above work has been accepted on behalf of the Governor of Rajasthan @  ",ROUND([0]!percentile_item8,2), "%  ",[0]!Above_Below_item8," amounting to Rs.  ",ROUND([0]!Bid_Amount_item8,0),"/-- In words Rupees. ",NumToWords([0]!Bid_Amount_item8),".")</f>
        <v>#NAME?</v>
      </c>
      <c r="B15" s="131"/>
      <c r="C15" s="131"/>
      <c r="D15" s="131"/>
      <c r="E15" s="131"/>
      <c r="F15" s="131"/>
      <c r="G15" s="131"/>
      <c r="H15" s="131"/>
      <c r="I15" s="131"/>
    </row>
    <row r="16" spans="1:9" ht="66" customHeight="1" x14ac:dyDescent="0.25">
      <c r="A16" s="135" t="s">
        <v>64</v>
      </c>
      <c r="B16" s="131"/>
      <c r="C16" s="131"/>
      <c r="D16" s="131"/>
      <c r="E16" s="131"/>
      <c r="F16" s="131"/>
      <c r="G16" s="131"/>
      <c r="H16" s="131"/>
      <c r="I16" s="131"/>
    </row>
    <row r="18" spans="1:9" x14ac:dyDescent="0.25">
      <c r="A18" s="40" t="s">
        <v>65</v>
      </c>
    </row>
    <row r="19" spans="1:9" x14ac:dyDescent="0.25">
      <c r="A19" s="40" t="s">
        <v>66</v>
      </c>
      <c r="F19" s="130">
        <v>45741</v>
      </c>
      <c r="G19" s="131"/>
    </row>
    <row r="20" spans="1:9" x14ac:dyDescent="0.25">
      <c r="A20" s="40" t="s">
        <v>67</v>
      </c>
      <c r="F20" s="130">
        <v>46015.23</v>
      </c>
      <c r="G20" s="131"/>
    </row>
    <row r="21" spans="1:9" x14ac:dyDescent="0.25">
      <c r="A21" s="40" t="s">
        <v>68</v>
      </c>
    </row>
    <row r="22" spans="1:9" x14ac:dyDescent="0.25">
      <c r="A22" s="40" t="s">
        <v>69</v>
      </c>
    </row>
    <row r="23" spans="1:9" x14ac:dyDescent="0.25">
      <c r="A23" s="40" t="s">
        <v>70</v>
      </c>
    </row>
    <row r="25" spans="1:9" x14ac:dyDescent="0.25">
      <c r="A25" s="40" t="s">
        <v>71</v>
      </c>
    </row>
    <row r="27" spans="1:9" x14ac:dyDescent="0.25">
      <c r="A27" s="40" t="s">
        <v>72</v>
      </c>
    </row>
    <row r="28" spans="1:9" x14ac:dyDescent="0.25">
      <c r="A28" s="40" t="s">
        <v>73</v>
      </c>
    </row>
    <row r="29" spans="1:9" x14ac:dyDescent="0.25">
      <c r="A29" s="42" t="s">
        <v>56</v>
      </c>
      <c r="B29" s="39"/>
      <c r="C29" s="39"/>
      <c r="D29" s="39"/>
      <c r="E29" s="39"/>
      <c r="F29" s="39"/>
      <c r="G29" s="42" t="s">
        <v>57</v>
      </c>
      <c r="H29" s="42"/>
      <c r="I29" s="39"/>
    </row>
    <row r="30" spans="1:9" x14ac:dyDescent="0.25">
      <c r="A30" s="40" t="s">
        <v>74</v>
      </c>
    </row>
    <row r="31" spans="1:9" x14ac:dyDescent="0.25">
      <c r="A31" s="40" t="s">
        <v>75</v>
      </c>
    </row>
    <row r="32" spans="1:9" x14ac:dyDescent="0.25">
      <c r="A32" s="40" t="s">
        <v>76</v>
      </c>
    </row>
    <row r="33" spans="1:1" x14ac:dyDescent="0.25">
      <c r="A33" s="40" t="s">
        <v>77</v>
      </c>
    </row>
    <row r="34" spans="1:1" x14ac:dyDescent="0.25">
      <c r="A34" s="40" t="s">
        <v>78</v>
      </c>
    </row>
    <row r="35" spans="1:1" x14ac:dyDescent="0.25">
      <c r="A35" s="40" t="s">
        <v>79</v>
      </c>
    </row>
    <row r="36" spans="1:1" x14ac:dyDescent="0.25">
      <c r="A36" s="40" t="s">
        <v>80</v>
      </c>
    </row>
    <row r="37" spans="1:1" x14ac:dyDescent="0.25">
      <c r="A37" s="40" t="s">
        <v>81</v>
      </c>
    </row>
    <row r="38" spans="1:1" x14ac:dyDescent="0.25">
      <c r="A38" s="40" t="s">
        <v>82</v>
      </c>
    </row>
    <row r="40" spans="1:1" x14ac:dyDescent="0.25">
      <c r="A40" s="40" t="s">
        <v>83</v>
      </c>
    </row>
    <row r="41" spans="1:1" x14ac:dyDescent="0.25">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I28"/>
  <sheetViews>
    <sheetView view="pageBreakPreview" zoomScaleNormal="100" zoomScaleSheetLayoutView="100" workbookViewId="0">
      <selection activeCell="D16" sqref="D16"/>
    </sheetView>
  </sheetViews>
  <sheetFormatPr defaultColWidth="8.85546875" defaultRowHeight="15" x14ac:dyDescent="0.25"/>
  <cols>
    <col min="1" max="2" width="8.85546875" style="40" customWidth="1"/>
    <col min="3" max="5" width="11.28515625" style="40" bestFit="1" customWidth="1"/>
    <col min="6" max="6" width="8.85546875" style="40" customWidth="1"/>
    <col min="7" max="16384" width="8.85546875" style="40"/>
  </cols>
  <sheetData>
    <row r="1" spans="1:9" ht="15.75" x14ac:dyDescent="0.25">
      <c r="A1" s="138" t="s">
        <v>54</v>
      </c>
      <c r="B1" s="137"/>
      <c r="C1" s="137"/>
      <c r="D1" s="137"/>
      <c r="E1" s="137"/>
      <c r="F1" s="137"/>
      <c r="G1" s="137"/>
      <c r="H1" s="137"/>
      <c r="I1" s="137"/>
    </row>
    <row r="2" spans="1:9" x14ac:dyDescent="0.25">
      <c r="A2" s="42" t="s">
        <v>56</v>
      </c>
      <c r="B2" s="39"/>
      <c r="C2" s="39"/>
      <c r="D2" s="39"/>
      <c r="E2" s="39"/>
      <c r="F2" s="39"/>
      <c r="G2" s="42" t="s">
        <v>57</v>
      </c>
      <c r="H2" s="42"/>
      <c r="I2" s="39"/>
    </row>
    <row r="3" spans="1:9" ht="18.75" x14ac:dyDescent="0.3">
      <c r="A3" s="139" t="s">
        <v>85</v>
      </c>
      <c r="B3" s="140"/>
      <c r="C3" s="140"/>
      <c r="D3" s="140"/>
      <c r="E3" s="140"/>
      <c r="F3" s="140"/>
      <c r="G3" s="140"/>
      <c r="H3" s="140"/>
      <c r="I3" s="140"/>
    </row>
    <row r="4" spans="1:9" x14ac:dyDescent="0.25">
      <c r="A4" s="53" t="s">
        <v>93</v>
      </c>
      <c r="B4" s="40" t="str">
        <f>'Compare-1'!B4</f>
        <v>27/2024-25</v>
      </c>
    </row>
    <row r="5" spans="1:9" x14ac:dyDescent="0.25">
      <c r="A5" s="43" t="str">
        <f>[0]!Lowest_bidder_item8</f>
        <v>M/s. Powertech Engineer, Rajsamand</v>
      </c>
    </row>
    <row r="6" spans="1:9" x14ac:dyDescent="0.25">
      <c r="A6" s="43"/>
    </row>
    <row r="8" spans="1:9" s="47" customFormat="1" ht="31.15" customHeight="1" x14ac:dyDescent="0.25">
      <c r="A8" s="51" t="s">
        <v>89</v>
      </c>
      <c r="B8" s="46"/>
      <c r="C8" s="141" t="s">
        <v>3</v>
      </c>
      <c r="D8" s="137"/>
      <c r="E8" s="137"/>
      <c r="F8" s="137"/>
      <c r="G8" s="137"/>
      <c r="H8" s="137"/>
      <c r="I8" s="137"/>
    </row>
    <row r="9" spans="1:9" s="47" customFormat="1" ht="15.6" customHeight="1" x14ac:dyDescent="0.25">
      <c r="A9" s="47" t="s">
        <v>59</v>
      </c>
      <c r="C9" s="47" t="str">
        <f>'Compare-8'!B4</f>
        <v>27/2024-25</v>
      </c>
      <c r="E9" s="52" t="str">
        <f>'Compare-8'!G4</f>
        <v>ITEM-8</v>
      </c>
    </row>
    <row r="10" spans="1:9" s="47" customFormat="1" ht="15.6" customHeight="1" x14ac:dyDescent="0.25">
      <c r="A10" s="47" t="s">
        <v>60</v>
      </c>
      <c r="C10" s="48">
        <f>'Compare-8'!F4</f>
        <v>45728</v>
      </c>
    </row>
    <row r="11" spans="1:9" s="47" customFormat="1" ht="15.6" customHeight="1" x14ac:dyDescent="0.25">
      <c r="A11" s="47" t="s">
        <v>61</v>
      </c>
      <c r="D11" s="48">
        <f>'Compare-8'!G10</f>
        <v>45740</v>
      </c>
    </row>
    <row r="12" spans="1:9" s="47" customFormat="1" ht="15.6" customHeight="1" x14ac:dyDescent="0.25">
      <c r="A12" s="47" t="s">
        <v>62</v>
      </c>
      <c r="E12" s="48">
        <f>D11</f>
        <v>45740</v>
      </c>
    </row>
    <row r="13" spans="1:9" s="47" customFormat="1" ht="15.6" customHeight="1" x14ac:dyDescent="0.25">
      <c r="A13" s="47" t="s">
        <v>63</v>
      </c>
    </row>
    <row r="14" spans="1:9" s="47" customFormat="1" ht="74.45" customHeight="1" x14ac:dyDescent="0.25">
      <c r="A14" s="136" t="e">
        <f ca="1">_xlfn.CONCAT("       Your tender for the above work has been accepted on behalf of the Governor of Rajasthan @  ",ROUND([0]!percentile_item8,2), "%  ",[0]!Above_Below_item8," amounting to Rs.  ",ROUND([0]!Bid_Amount_item8,0),"/-- In words Rupees. ",NumToWords([0]!Bid_Amount_item8),"by the undersingned Executive Engineer PWD Electric Divistion Udaipur.")</f>
        <v>#NAME?</v>
      </c>
      <c r="B14" s="137"/>
      <c r="C14" s="137"/>
      <c r="D14" s="137"/>
      <c r="E14" s="137"/>
      <c r="F14" s="137"/>
      <c r="G14" s="137"/>
      <c r="H14" s="137"/>
      <c r="I14" s="137"/>
    </row>
    <row r="15" spans="1:9" s="47" customFormat="1" ht="109.9" customHeight="1" x14ac:dyDescent="0.25">
      <c r="A15" s="136" t="s">
        <v>86</v>
      </c>
      <c r="B15" s="137"/>
      <c r="C15" s="137"/>
      <c r="D15" s="137"/>
      <c r="E15" s="137"/>
      <c r="F15" s="137"/>
      <c r="G15" s="137"/>
      <c r="H15" s="137"/>
      <c r="I15" s="137"/>
    </row>
    <row r="16" spans="1:9" s="47" customFormat="1" ht="15.6" customHeight="1" x14ac:dyDescent="0.25">
      <c r="A16" s="47" t="s">
        <v>87</v>
      </c>
    </row>
    <row r="17" spans="1:9" s="47" customFormat="1" ht="15.6" customHeight="1" x14ac:dyDescent="0.25"/>
    <row r="18" spans="1:9" s="47" customFormat="1" ht="15.6" customHeight="1" x14ac:dyDescent="0.25">
      <c r="A18" s="47" t="s">
        <v>71</v>
      </c>
    </row>
    <row r="19" spans="1:9" s="47" customFormat="1" ht="15.6" customHeight="1" x14ac:dyDescent="0.25"/>
    <row r="20" spans="1:9" s="47" customFormat="1" ht="15.6" customHeight="1" x14ac:dyDescent="0.25">
      <c r="A20" s="47" t="s">
        <v>72</v>
      </c>
    </row>
    <row r="21" spans="1:9" s="47" customFormat="1" ht="15.6" customHeight="1" x14ac:dyDescent="0.25">
      <c r="A21" s="47" t="s">
        <v>73</v>
      </c>
    </row>
    <row r="22" spans="1:9" s="47" customFormat="1" ht="15.6" customHeight="1" x14ac:dyDescent="0.25">
      <c r="A22" s="49" t="s">
        <v>56</v>
      </c>
      <c r="B22" s="49"/>
      <c r="C22" s="49"/>
      <c r="D22" s="49"/>
      <c r="E22" s="49"/>
      <c r="F22" s="49"/>
      <c r="G22" s="49" t="s">
        <v>57</v>
      </c>
      <c r="H22" s="49"/>
      <c r="I22" s="49"/>
    </row>
    <row r="23" spans="1:9" s="47" customFormat="1" ht="15.6" customHeight="1" x14ac:dyDescent="0.25">
      <c r="A23" s="47" t="s">
        <v>74</v>
      </c>
    </row>
    <row r="24" spans="1:9" s="47" customFormat="1" ht="15.6" customHeight="1" x14ac:dyDescent="0.25">
      <c r="A24" s="47" t="s">
        <v>88</v>
      </c>
    </row>
    <row r="25" spans="1:9" s="47" customFormat="1" ht="15.6" customHeight="1" x14ac:dyDescent="0.25">
      <c r="A25" s="47" t="s">
        <v>90</v>
      </c>
    </row>
    <row r="26" spans="1:9" s="47" customFormat="1" ht="15.6" customHeight="1" x14ac:dyDescent="0.25"/>
    <row r="27" spans="1:9" x14ac:dyDescent="0.25">
      <c r="A27" s="40" t="s">
        <v>83</v>
      </c>
    </row>
    <row r="28" spans="1:9" x14ac:dyDescent="0.25">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G25"/>
  <sheetViews>
    <sheetView view="pageBreakPreview" zoomScaleNormal="100" zoomScaleSheetLayoutView="100" workbookViewId="0">
      <selection activeCell="H18" sqref="H18"/>
    </sheetView>
  </sheetViews>
  <sheetFormatPr defaultColWidth="9.140625" defaultRowHeight="15" x14ac:dyDescent="0.25"/>
  <cols>
    <col min="1" max="1" width="9.140625" style="6" customWidth="1"/>
    <col min="2" max="2" width="49.28515625" style="6" customWidth="1"/>
    <col min="3" max="3" width="12.7109375" style="6" customWidth="1"/>
    <col min="4" max="4" width="9" style="6" customWidth="1"/>
    <col min="5" max="5" width="6.7109375" style="22" customWidth="1"/>
    <col min="6" max="6" width="26" style="6" customWidth="1"/>
    <col min="7" max="7" width="14.28515625" style="6" customWidth="1"/>
    <col min="8" max="16384" width="9.140625" style="6"/>
  </cols>
  <sheetData>
    <row r="1" spans="1:7" x14ac:dyDescent="0.25">
      <c r="A1" s="102" t="s">
        <v>0</v>
      </c>
      <c r="B1" s="103"/>
      <c r="C1" s="103"/>
      <c r="D1" s="103"/>
      <c r="E1" s="103"/>
      <c r="F1" s="103"/>
      <c r="G1" s="103"/>
    </row>
    <row r="2" spans="1:7" ht="15.6" customHeight="1" x14ac:dyDescent="0.25">
      <c r="A2" s="104" t="s">
        <v>1</v>
      </c>
      <c r="B2" s="103"/>
      <c r="C2" s="103"/>
      <c r="D2" s="103"/>
      <c r="E2" s="103"/>
      <c r="F2" s="103"/>
      <c r="G2" s="103"/>
    </row>
    <row r="3" spans="1:7" ht="31.15" customHeight="1" x14ac:dyDescent="0.25">
      <c r="A3" s="7" t="s">
        <v>2</v>
      </c>
      <c r="C3" s="106" t="s">
        <v>3</v>
      </c>
      <c r="D3" s="106"/>
      <c r="E3" s="106"/>
      <c r="F3" s="106"/>
      <c r="G3" s="106"/>
    </row>
    <row r="4" spans="1:7" x14ac:dyDescent="0.25">
      <c r="A4" s="58" t="s">
        <v>4</v>
      </c>
      <c r="B4" s="77" t="str">
        <f>'Compare-1'!B4</f>
        <v>27/2024-25</v>
      </c>
      <c r="C4" s="142" t="s">
        <v>5</v>
      </c>
      <c r="D4" s="143"/>
      <c r="E4" s="143"/>
      <c r="F4" s="79">
        <f>'Compare-1'!F4</f>
        <v>45728</v>
      </c>
      <c r="G4" s="75" t="s">
        <v>105</v>
      </c>
    </row>
    <row r="5" spans="1:7" s="9" customFormat="1" x14ac:dyDescent="0.2">
      <c r="A5" s="62" t="s">
        <v>92</v>
      </c>
      <c r="B5" s="62"/>
      <c r="C5" s="144">
        <f>C12</f>
        <v>641694</v>
      </c>
      <c r="D5" s="143"/>
      <c r="E5" s="63"/>
      <c r="F5" s="64" t="s">
        <v>98</v>
      </c>
      <c r="G5" s="65">
        <v>13000</v>
      </c>
    </row>
    <row r="6" spans="1:7" s="9" customFormat="1" x14ac:dyDescent="0.2">
      <c r="A6" s="62" t="s">
        <v>7</v>
      </c>
      <c r="B6" s="62"/>
      <c r="C6" s="85">
        <f>ROUNDUP(F17,0)</f>
        <v>628861</v>
      </c>
      <c r="D6" s="86"/>
      <c r="E6" s="66"/>
      <c r="F6" s="64" t="s">
        <v>91</v>
      </c>
      <c r="G6" s="67">
        <v>9</v>
      </c>
    </row>
    <row r="7" spans="1:7" s="9" customFormat="1" x14ac:dyDescent="0.2">
      <c r="A7" s="87" t="s">
        <v>8</v>
      </c>
      <c r="B7" s="84"/>
      <c r="C7" s="87" t="s">
        <v>9</v>
      </c>
      <c r="D7" s="84"/>
      <c r="E7" s="57"/>
      <c r="F7" s="68" t="s">
        <v>10</v>
      </c>
      <c r="G7" s="69">
        <v>4</v>
      </c>
    </row>
    <row r="8" spans="1:7" s="9" customFormat="1" x14ac:dyDescent="0.2">
      <c r="A8" s="87" t="s">
        <v>11</v>
      </c>
      <c r="B8" s="84"/>
      <c r="C8" s="57" t="s">
        <v>12</v>
      </c>
      <c r="D8" s="70"/>
      <c r="E8" s="57"/>
      <c r="F8" s="68" t="s">
        <v>13</v>
      </c>
      <c r="G8" s="64">
        <v>4</v>
      </c>
    </row>
    <row r="9" spans="1:7" s="9" customFormat="1" x14ac:dyDescent="0.2">
      <c r="A9" s="87" t="s">
        <v>14</v>
      </c>
      <c r="B9" s="84"/>
      <c r="C9" s="88">
        <f>C6</f>
        <v>628861</v>
      </c>
      <c r="D9" s="86"/>
      <c r="E9" s="71"/>
      <c r="F9" s="68" t="s">
        <v>15</v>
      </c>
      <c r="G9" s="76">
        <f>F4</f>
        <v>45728</v>
      </c>
    </row>
    <row r="10" spans="1:7" s="9" customFormat="1" x14ac:dyDescent="0.2">
      <c r="A10" s="87" t="s">
        <v>16</v>
      </c>
      <c r="B10" s="84"/>
      <c r="C10" s="87" t="s">
        <v>17</v>
      </c>
      <c r="D10" s="84"/>
      <c r="E10" s="84"/>
      <c r="F10" s="68" t="s">
        <v>18</v>
      </c>
      <c r="G10" s="79">
        <f>'Compare-1'!G8</f>
        <v>45740</v>
      </c>
    </row>
    <row r="11" spans="1:7" ht="27.75" customHeight="1" x14ac:dyDescent="0.25">
      <c r="A11" s="10" t="s">
        <v>19</v>
      </c>
      <c r="B11" s="11" t="s">
        <v>20</v>
      </c>
      <c r="C11" s="11" t="s">
        <v>96</v>
      </c>
      <c r="D11" s="89" t="s">
        <v>21</v>
      </c>
      <c r="E11" s="90"/>
      <c r="F11" s="101" t="s">
        <v>97</v>
      </c>
      <c r="G11" s="98"/>
    </row>
    <row r="12" spans="1:7" ht="22.9" customHeight="1" x14ac:dyDescent="0.25">
      <c r="A12" s="19">
        <v>1</v>
      </c>
      <c r="B12" s="12" t="s">
        <v>100</v>
      </c>
      <c r="C12" s="19">
        <v>641694</v>
      </c>
      <c r="D12" s="23">
        <v>2</v>
      </c>
      <c r="E12" s="29" t="s">
        <v>22</v>
      </c>
      <c r="F12" s="97">
        <f>IF(E12="below",ROUNDUP(C12*(1-D12/100),0),ROUNDUP(C12*(1+D12/100),0))</f>
        <v>628861</v>
      </c>
      <c r="G12" s="98"/>
    </row>
    <row r="13" spans="1:7" ht="18.600000000000001" customHeight="1" x14ac:dyDescent="0.25">
      <c r="A13" s="19">
        <v>2</v>
      </c>
      <c r="B13" s="12" t="s">
        <v>101</v>
      </c>
      <c r="C13" s="54">
        <f>$C$12</f>
        <v>641694</v>
      </c>
      <c r="D13" s="23">
        <v>1</v>
      </c>
      <c r="E13" s="29" t="s">
        <v>22</v>
      </c>
      <c r="F13" s="97">
        <f t="shared" ref="F13:F15" si="0">IF(E13="below",ROUNDUP(C13*(1-D13/100),0),ROUNDUP(C13*(1+D13/100),0))</f>
        <v>635278</v>
      </c>
      <c r="G13" s="98"/>
    </row>
    <row r="14" spans="1:7" ht="18.600000000000001" customHeight="1" x14ac:dyDescent="0.25">
      <c r="A14" s="19">
        <v>3</v>
      </c>
      <c r="B14" s="12" t="s">
        <v>102</v>
      </c>
      <c r="C14" s="54">
        <f>$C$12</f>
        <v>641694</v>
      </c>
      <c r="D14" s="23">
        <v>1</v>
      </c>
      <c r="E14" s="29" t="s">
        <v>22</v>
      </c>
      <c r="F14" s="97">
        <f t="shared" si="0"/>
        <v>635278</v>
      </c>
      <c r="G14" s="98"/>
    </row>
    <row r="15" spans="1:7" ht="21" customHeight="1" x14ac:dyDescent="0.25">
      <c r="A15" s="19">
        <v>4</v>
      </c>
      <c r="B15" s="12" t="s">
        <v>103</v>
      </c>
      <c r="C15" s="54">
        <f t="shared" ref="C15" si="1">$C$12</f>
        <v>641694</v>
      </c>
      <c r="D15" s="23">
        <v>0.1</v>
      </c>
      <c r="E15" s="29" t="s">
        <v>22</v>
      </c>
      <c r="F15" s="97">
        <f t="shared" si="0"/>
        <v>641053</v>
      </c>
      <c r="G15" s="98"/>
    </row>
    <row r="16" spans="1:7" ht="4.1500000000000004" customHeight="1" x14ac:dyDescent="0.25">
      <c r="D16" s="22"/>
      <c r="E16" s="6"/>
    </row>
    <row r="17" spans="1:7" ht="15" customHeight="1" thickBot="1" x14ac:dyDescent="0.3">
      <c r="A17" s="25" t="s">
        <v>23</v>
      </c>
      <c r="B17" s="26" t="str">
        <f>INDEX(B12:B15,MATCH(MIN(F12:F15),F12:F15,0))</f>
        <v>M/s. Vikas Enterprises, Udaipur</v>
      </c>
      <c r="C17" s="26"/>
      <c r="D17" s="27">
        <f>INDEX(D12:D15,MATCH(MIN(F12:F15),F12:F15,0))</f>
        <v>2</v>
      </c>
      <c r="E17" s="26" t="str">
        <f>INDEX(E12:E15,MATCH(MIN(F12:F15),F12:F15,0))</f>
        <v>BELOW</v>
      </c>
      <c r="F17" s="74">
        <f>ROUND(MIN(F12:F15),0)</f>
        <v>628861</v>
      </c>
    </row>
    <row r="18" spans="1:7" ht="57" customHeight="1" x14ac:dyDescent="0.25">
      <c r="A18" s="8"/>
      <c r="B18" s="8"/>
      <c r="C18" s="91" t="e">
        <f ca="1">_xlfn.CONCAT("The tender of the lowest bidder "," ", Lowest_bidder_item9," @ ",ROUND(percentile_item9,2),"%  ",Above_Below_item9," amounting to Rs.  ",ROUND(Bid_Amount_item9,0),"/-- In words Rupees. ",NumToWords(Bid_Amount_item9),".")</f>
        <v>#NAME?</v>
      </c>
      <c r="D18" s="92"/>
      <c r="E18" s="92"/>
      <c r="F18" s="93"/>
    </row>
    <row r="19" spans="1:7" ht="13.15" customHeight="1" x14ac:dyDescent="0.25">
      <c r="A19" s="8"/>
      <c r="B19" s="8"/>
      <c r="C19" s="28"/>
      <c r="D19" s="99"/>
      <c r="E19" s="81"/>
      <c r="F19" s="100"/>
    </row>
    <row r="20" spans="1:7" ht="15" customHeight="1" thickBot="1" x14ac:dyDescent="0.3">
      <c r="A20" s="8"/>
      <c r="B20" s="8"/>
      <c r="C20" s="94" t="s">
        <v>24</v>
      </c>
      <c r="D20" s="95"/>
      <c r="E20" s="95"/>
      <c r="F20" s="96"/>
    </row>
    <row r="21" spans="1:7" ht="15" customHeight="1" x14ac:dyDescent="0.25">
      <c r="A21" s="8"/>
      <c r="B21" s="8"/>
      <c r="C21" s="50"/>
      <c r="D21" s="73"/>
      <c r="E21" s="73"/>
      <c r="F21" s="73"/>
    </row>
    <row r="22" spans="1:7" ht="15" customHeight="1" x14ac:dyDescent="0.25">
      <c r="A22" s="8"/>
      <c r="B22" s="8"/>
      <c r="C22" s="50"/>
      <c r="D22" s="73"/>
      <c r="E22" s="73"/>
      <c r="F22" s="73"/>
    </row>
    <row r="23" spans="1:7" x14ac:dyDescent="0.25">
      <c r="D23" s="22"/>
      <c r="E23" s="6"/>
      <c r="F23" s="82"/>
      <c r="G23" s="81"/>
    </row>
    <row r="24" spans="1:7" s="13" customFormat="1" ht="18" customHeight="1" x14ac:dyDescent="0.3">
      <c r="A24" s="80" t="s">
        <v>25</v>
      </c>
      <c r="B24" s="81"/>
      <c r="C24" s="81"/>
      <c r="D24" s="81"/>
      <c r="E24" s="81"/>
      <c r="F24" s="81"/>
      <c r="G24" s="81"/>
    </row>
    <row r="25" spans="1:7" s="13" customFormat="1" ht="18" customHeight="1" x14ac:dyDescent="0.3">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E22"/>
  <sheetViews>
    <sheetView view="pageBreakPreview" topLeftCell="A10" zoomScaleNormal="100" zoomScaleSheetLayoutView="100" workbookViewId="0">
      <selection activeCell="B16" sqref="B16:D16"/>
    </sheetView>
  </sheetViews>
  <sheetFormatPr defaultRowHeight="15" x14ac:dyDescent="0.25"/>
  <cols>
    <col min="1" max="1" width="8" customWidth="1"/>
    <col min="2" max="2" width="15.85546875" style="16" customWidth="1"/>
    <col min="3" max="3" width="8.85546875" customWidth="1"/>
    <col min="4" max="4" width="4.85546875" customWidth="1"/>
    <col min="5" max="5" width="62.42578125" customWidth="1"/>
  </cols>
  <sheetData>
    <row r="1" spans="1:5" ht="16.5" customHeight="1" x14ac:dyDescent="0.25">
      <c r="A1" s="127" t="s">
        <v>26</v>
      </c>
      <c r="B1" s="114"/>
      <c r="C1" s="115"/>
      <c r="D1" s="115"/>
      <c r="E1" s="115"/>
    </row>
    <row r="2" spans="1:5" ht="35.1" customHeight="1" x14ac:dyDescent="0.25">
      <c r="A2" s="1">
        <v>1</v>
      </c>
      <c r="B2" s="116" t="s">
        <v>27</v>
      </c>
      <c r="C2" s="117"/>
      <c r="D2" s="118"/>
      <c r="E2" s="3"/>
    </row>
    <row r="3" spans="1:5" s="16" customFormat="1" ht="15" customHeight="1" x14ac:dyDescent="0.25">
      <c r="A3" s="55" t="s">
        <v>28</v>
      </c>
      <c r="B3" s="119" t="s">
        <v>29</v>
      </c>
      <c r="C3" s="117"/>
      <c r="D3" s="118"/>
      <c r="E3" s="30" t="str">
        <f>'Compare-9'!C3</f>
        <v xml:space="preserve">Electric cabling and maintenance work in Sahelion ki Bari , Udaipur  </v>
      </c>
    </row>
    <row r="4" spans="1:5" ht="15" customHeight="1" x14ac:dyDescent="0.25">
      <c r="A4" s="4"/>
      <c r="B4" s="128" t="s">
        <v>30</v>
      </c>
      <c r="C4" s="117"/>
      <c r="D4" s="118"/>
      <c r="E4" s="21"/>
    </row>
    <row r="5" spans="1:5" ht="15" customHeight="1" x14ac:dyDescent="0.25">
      <c r="A5" s="1">
        <v>3</v>
      </c>
      <c r="B5" s="119" t="s">
        <v>31</v>
      </c>
      <c r="C5" s="117"/>
      <c r="D5" s="118"/>
      <c r="E5" s="3"/>
    </row>
    <row r="6" spans="1:5" ht="15" customHeight="1" x14ac:dyDescent="0.25">
      <c r="A6" s="1"/>
      <c r="B6" s="129" t="s">
        <v>32</v>
      </c>
      <c r="C6" s="117"/>
      <c r="D6" s="118"/>
      <c r="E6" s="3">
        <f>'Compare-9'!C5</f>
        <v>641694</v>
      </c>
    </row>
    <row r="7" spans="1:5" ht="50.45" customHeight="1" x14ac:dyDescent="0.25">
      <c r="A7" s="1">
        <v>4</v>
      </c>
      <c r="B7" s="119" t="s">
        <v>33</v>
      </c>
      <c r="C7" s="117"/>
      <c r="D7" s="118"/>
      <c r="E7" s="3"/>
    </row>
    <row r="8" spans="1:5" ht="35.1" customHeight="1" x14ac:dyDescent="0.25">
      <c r="A8" s="1">
        <v>5</v>
      </c>
      <c r="B8" s="116" t="s">
        <v>15</v>
      </c>
      <c r="C8" s="117"/>
      <c r="D8" s="118"/>
      <c r="E8" s="20">
        <f>'Compare-9'!F4</f>
        <v>45728</v>
      </c>
    </row>
    <row r="9" spans="1:5" ht="34.9" customHeight="1" x14ac:dyDescent="0.25">
      <c r="A9" s="1">
        <v>6</v>
      </c>
      <c r="B9" s="116" t="s">
        <v>34</v>
      </c>
      <c r="C9" s="117"/>
      <c r="D9" s="118"/>
      <c r="E9" s="20">
        <f>'Compare-9'!G10</f>
        <v>45740</v>
      </c>
    </row>
    <row r="10" spans="1:5" ht="35.1" customHeight="1" x14ac:dyDescent="0.25">
      <c r="A10" s="1">
        <v>7</v>
      </c>
      <c r="B10" s="116" t="s">
        <v>35</v>
      </c>
      <c r="C10" s="117"/>
      <c r="D10" s="118"/>
      <c r="E10" s="5">
        <f>'Compare-9'!G7</f>
        <v>4</v>
      </c>
    </row>
    <row r="11" spans="1:5" ht="34.9" customHeight="1" x14ac:dyDescent="0.25">
      <c r="A11" s="1">
        <v>8</v>
      </c>
      <c r="B11" s="116" t="s">
        <v>36</v>
      </c>
      <c r="C11" s="117"/>
      <c r="D11" s="118"/>
      <c r="E11" s="5">
        <f>'Compare-9'!G8</f>
        <v>4</v>
      </c>
    </row>
    <row r="12" spans="1:5" ht="34.9" customHeight="1" x14ac:dyDescent="0.25">
      <c r="A12" s="1">
        <v>9</v>
      </c>
      <c r="B12" s="119" t="s">
        <v>37</v>
      </c>
      <c r="C12" s="117"/>
      <c r="D12" s="118"/>
      <c r="E12" s="2" t="s">
        <v>38</v>
      </c>
    </row>
    <row r="13" spans="1:5" ht="35.1" customHeight="1" x14ac:dyDescent="0.25">
      <c r="A13" s="1">
        <v>10</v>
      </c>
      <c r="B13" s="116" t="s">
        <v>39</v>
      </c>
      <c r="C13" s="117"/>
      <c r="D13" s="118"/>
      <c r="E13" s="37" t="s">
        <v>9</v>
      </c>
    </row>
    <row r="14" spans="1:5" ht="40.5" customHeight="1" x14ac:dyDescent="0.25">
      <c r="A14" s="55" t="s">
        <v>40</v>
      </c>
      <c r="B14" s="120" t="s">
        <v>41</v>
      </c>
      <c r="C14" s="121"/>
      <c r="D14" s="121"/>
      <c r="E14" s="38" t="str">
        <f>_xlfn.CONCAT(TEXT(ROUND([0]!percentile_item9,4), "#,##0.00"), " % ", [0]!Above_Below_item9, ". No Condition.")</f>
        <v>2.00 % BELOW. No Condition.</v>
      </c>
    </row>
    <row r="15" spans="1:5" ht="44.25" customHeight="1" x14ac:dyDescent="0.25">
      <c r="A15" s="55" t="s">
        <v>42</v>
      </c>
      <c r="B15" s="119" t="s">
        <v>43</v>
      </c>
      <c r="C15" s="117"/>
      <c r="D15" s="118"/>
      <c r="E15" s="33" t="s">
        <v>44</v>
      </c>
    </row>
    <row r="16" spans="1:5" ht="35.1" customHeight="1" x14ac:dyDescent="0.25">
      <c r="A16" s="1">
        <v>13</v>
      </c>
      <c r="B16" s="116" t="s">
        <v>45</v>
      </c>
      <c r="C16" s="117"/>
      <c r="D16" s="118"/>
      <c r="E16" s="15" t="str">
        <f>[0]!Lowest_bidder_item9</f>
        <v>M/s. Vikas Enterprises, Udaipur</v>
      </c>
    </row>
    <row r="17" spans="1:5" ht="52.15" customHeight="1" x14ac:dyDescent="0.25">
      <c r="A17" s="56" t="s">
        <v>46</v>
      </c>
      <c r="B17" s="125" t="s">
        <v>47</v>
      </c>
      <c r="C17" s="121"/>
      <c r="D17" s="126"/>
      <c r="E17" s="2" t="s">
        <v>48</v>
      </c>
    </row>
    <row r="18" spans="1:5" x14ac:dyDescent="0.25">
      <c r="A18" s="35">
        <v>15</v>
      </c>
      <c r="B18" s="122" t="s">
        <v>49</v>
      </c>
      <c r="C18" s="123"/>
      <c r="D18" s="124"/>
      <c r="E18" s="31" t="s">
        <v>50</v>
      </c>
    </row>
    <row r="19" spans="1:5" x14ac:dyDescent="0.25">
      <c r="A19" s="36"/>
      <c r="B19" s="107" t="s">
        <v>51</v>
      </c>
      <c r="C19" s="108"/>
      <c r="D19" s="109"/>
      <c r="E19" s="32">
        <f>'Compare-9'!G10+20</f>
        <v>45760</v>
      </c>
    </row>
    <row r="20" spans="1:5" x14ac:dyDescent="0.25">
      <c r="A20" s="34">
        <v>16</v>
      </c>
      <c r="B20" s="110" t="s">
        <v>52</v>
      </c>
      <c r="C20" s="111"/>
      <c r="D20" s="112"/>
      <c r="E20" s="2" t="s">
        <v>53</v>
      </c>
    </row>
    <row r="21" spans="1:5" ht="35.1" customHeight="1" x14ac:dyDescent="0.25">
      <c r="A21" s="17"/>
      <c r="B21" s="18"/>
      <c r="C21" s="18"/>
      <c r="D21" s="18"/>
      <c r="E21" s="18"/>
    </row>
    <row r="22" spans="1:5" ht="15" customHeight="1" x14ac:dyDescent="0.25">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41"/>
  <sheetViews>
    <sheetView view="pageBreakPreview" topLeftCell="A7" zoomScaleNormal="100" zoomScaleSheetLayoutView="100" workbookViewId="0">
      <selection activeCell="A16" sqref="A16:I16"/>
    </sheetView>
  </sheetViews>
  <sheetFormatPr defaultColWidth="8.85546875" defaultRowHeight="15" x14ac:dyDescent="0.25"/>
  <cols>
    <col min="1" max="2" width="8.85546875" style="40" customWidth="1"/>
    <col min="3" max="5" width="10.28515625" style="40" bestFit="1" customWidth="1"/>
    <col min="6" max="6" width="8.85546875" style="40" customWidth="1"/>
    <col min="7" max="16384" width="8.85546875" style="40"/>
  </cols>
  <sheetData>
    <row r="1" spans="1:9" x14ac:dyDescent="0.25">
      <c r="A1" s="132" t="s">
        <v>54</v>
      </c>
      <c r="B1" s="131"/>
      <c r="C1" s="131"/>
      <c r="D1" s="131"/>
      <c r="E1" s="131"/>
      <c r="F1" s="131"/>
      <c r="G1" s="131"/>
      <c r="H1" s="131"/>
      <c r="I1" s="131"/>
    </row>
    <row r="2" spans="1:9" x14ac:dyDescent="0.25">
      <c r="A2" s="39"/>
      <c r="B2" s="39"/>
      <c r="C2" s="39"/>
      <c r="D2" s="39"/>
      <c r="E2" s="39"/>
      <c r="F2" s="39"/>
      <c r="G2" s="39"/>
      <c r="H2" s="41" t="s">
        <v>55</v>
      </c>
      <c r="I2" s="39"/>
    </row>
    <row r="3" spans="1:9" x14ac:dyDescent="0.25">
      <c r="A3" s="42" t="s">
        <v>56</v>
      </c>
      <c r="B3" s="39"/>
      <c r="C3" s="39"/>
      <c r="D3" s="39"/>
      <c r="E3" s="39"/>
      <c r="F3" s="39"/>
      <c r="G3" s="42" t="s">
        <v>57</v>
      </c>
      <c r="H3" s="42"/>
      <c r="I3" s="39"/>
    </row>
    <row r="4" spans="1:9" x14ac:dyDescent="0.25">
      <c r="A4" s="133" t="s">
        <v>94</v>
      </c>
      <c r="B4" s="131"/>
      <c r="C4" s="131"/>
      <c r="D4" s="131"/>
      <c r="E4" s="131"/>
      <c r="F4" s="131"/>
      <c r="G4" s="131"/>
      <c r="H4" s="131"/>
      <c r="I4" s="131"/>
    </row>
    <row r="5" spans="1:9" x14ac:dyDescent="0.25">
      <c r="A5" s="53" t="s">
        <v>93</v>
      </c>
    </row>
    <row r="6" spans="1:9" x14ac:dyDescent="0.25">
      <c r="A6" s="43" t="str">
        <f>[0]!Lowest_bidder_item9</f>
        <v>M/s. Vikas Enterprises, Udaipur</v>
      </c>
    </row>
    <row r="7" spans="1:9" x14ac:dyDescent="0.25">
      <c r="A7" s="43"/>
    </row>
    <row r="9" spans="1:9" ht="31.15" customHeight="1" x14ac:dyDescent="0.25">
      <c r="A9" s="44" t="s">
        <v>58</v>
      </c>
      <c r="B9" s="44"/>
      <c r="C9" s="134" t="str">
        <f>'Compare-9'!C3</f>
        <v xml:space="preserve">Electric cabling and maintenance work in Sahelion ki Bari , Udaipur  </v>
      </c>
      <c r="D9" s="131"/>
      <c r="E9" s="131"/>
      <c r="F9" s="131"/>
      <c r="G9" s="131"/>
      <c r="H9" s="131"/>
      <c r="I9" s="131"/>
    </row>
    <row r="10" spans="1:9" x14ac:dyDescent="0.25">
      <c r="A10" s="40" t="s">
        <v>59</v>
      </c>
      <c r="C10" s="40" t="str">
        <f>'Compare-9'!B4</f>
        <v>27/2024-25</v>
      </c>
      <c r="E10" s="40" t="str">
        <f>'Compare-9'!G4</f>
        <v>ITEM-9</v>
      </c>
    </row>
    <row r="11" spans="1:9" x14ac:dyDescent="0.25">
      <c r="A11" s="40" t="s">
        <v>60</v>
      </c>
      <c r="C11" s="45">
        <f>'Compare-9'!F4</f>
        <v>45728</v>
      </c>
    </row>
    <row r="12" spans="1:9" x14ac:dyDescent="0.25">
      <c r="A12" s="40" t="s">
        <v>61</v>
      </c>
      <c r="D12" s="45">
        <f>'Compare-9'!G10</f>
        <v>45740</v>
      </c>
    </row>
    <row r="13" spans="1:9" x14ac:dyDescent="0.25">
      <c r="A13" s="40" t="s">
        <v>62</v>
      </c>
      <c r="E13" s="45">
        <f>D12</f>
        <v>45740</v>
      </c>
    </row>
    <row r="14" spans="1:9" x14ac:dyDescent="0.25">
      <c r="A14" s="40" t="s">
        <v>63</v>
      </c>
    </row>
    <row r="15" spans="1:9" ht="64.900000000000006" customHeight="1" x14ac:dyDescent="0.25">
      <c r="A15" s="135" t="e">
        <f ca="1">_xlfn.CONCAT("       Your tender for the above work has been accepted on behalf of the Governor of Rajasthan @  ",ROUND([0]!percentile_item9,2), "%  ",[0]!Above_Below_item9," amounting to Rs.  ",ROUND([0]!Bid_Amount_item9,0),"/-- In words Rupees. ",NumToWords([0]!Bid_Amount_item9),".")</f>
        <v>#NAME?</v>
      </c>
      <c r="B15" s="131"/>
      <c r="C15" s="131"/>
      <c r="D15" s="131"/>
      <c r="E15" s="131"/>
      <c r="F15" s="131"/>
      <c r="G15" s="131"/>
      <c r="H15" s="131"/>
      <c r="I15" s="131"/>
    </row>
    <row r="16" spans="1:9" ht="66" customHeight="1" x14ac:dyDescent="0.25">
      <c r="A16" s="135" t="s">
        <v>64</v>
      </c>
      <c r="B16" s="131"/>
      <c r="C16" s="131"/>
      <c r="D16" s="131"/>
      <c r="E16" s="131"/>
      <c r="F16" s="131"/>
      <c r="G16" s="131"/>
      <c r="H16" s="131"/>
      <c r="I16" s="131"/>
    </row>
    <row r="18" spans="1:9" x14ac:dyDescent="0.25">
      <c r="A18" s="40" t="s">
        <v>65</v>
      </c>
    </row>
    <row r="19" spans="1:9" x14ac:dyDescent="0.25">
      <c r="A19" s="40" t="s">
        <v>66</v>
      </c>
      <c r="F19" s="130">
        <v>45741</v>
      </c>
      <c r="G19" s="131"/>
    </row>
    <row r="20" spans="1:9" x14ac:dyDescent="0.25">
      <c r="A20" s="40" t="s">
        <v>67</v>
      </c>
      <c r="F20" s="130">
        <v>46015.23</v>
      </c>
      <c r="G20" s="131"/>
    </row>
    <row r="21" spans="1:9" x14ac:dyDescent="0.25">
      <c r="A21" s="40" t="s">
        <v>68</v>
      </c>
    </row>
    <row r="22" spans="1:9" x14ac:dyDescent="0.25">
      <c r="A22" s="40" t="s">
        <v>69</v>
      </c>
    </row>
    <row r="23" spans="1:9" x14ac:dyDescent="0.25">
      <c r="A23" s="40" t="s">
        <v>70</v>
      </c>
    </row>
    <row r="25" spans="1:9" x14ac:dyDescent="0.25">
      <c r="A25" s="40" t="s">
        <v>71</v>
      </c>
    </row>
    <row r="27" spans="1:9" x14ac:dyDescent="0.25">
      <c r="A27" s="40" t="s">
        <v>72</v>
      </c>
    </row>
    <row r="28" spans="1:9" x14ac:dyDescent="0.25">
      <c r="A28" s="40" t="s">
        <v>73</v>
      </c>
    </row>
    <row r="29" spans="1:9" x14ac:dyDescent="0.25">
      <c r="A29" s="42" t="s">
        <v>56</v>
      </c>
      <c r="B29" s="39"/>
      <c r="C29" s="39"/>
      <c r="D29" s="39"/>
      <c r="E29" s="39"/>
      <c r="F29" s="39"/>
      <c r="G29" s="42" t="s">
        <v>57</v>
      </c>
      <c r="H29" s="42"/>
      <c r="I29" s="39"/>
    </row>
    <row r="30" spans="1:9" x14ac:dyDescent="0.25">
      <c r="A30" s="40" t="s">
        <v>74</v>
      </c>
    </row>
    <row r="31" spans="1:9" x14ac:dyDescent="0.25">
      <c r="A31" s="40" t="s">
        <v>75</v>
      </c>
    </row>
    <row r="32" spans="1:9" x14ac:dyDescent="0.25">
      <c r="A32" s="40" t="s">
        <v>76</v>
      </c>
    </row>
    <row r="33" spans="1:1" x14ac:dyDescent="0.25">
      <c r="A33" s="40" t="s">
        <v>77</v>
      </c>
    </row>
    <row r="34" spans="1:1" x14ac:dyDescent="0.25">
      <c r="A34" s="40" t="s">
        <v>78</v>
      </c>
    </row>
    <row r="35" spans="1:1" x14ac:dyDescent="0.25">
      <c r="A35" s="40" t="s">
        <v>79</v>
      </c>
    </row>
    <row r="36" spans="1:1" x14ac:dyDescent="0.25">
      <c r="A36" s="40" t="s">
        <v>80</v>
      </c>
    </row>
    <row r="37" spans="1:1" x14ac:dyDescent="0.25">
      <c r="A37" s="40" t="s">
        <v>81</v>
      </c>
    </row>
    <row r="38" spans="1:1" x14ac:dyDescent="0.25">
      <c r="A38" s="40" t="s">
        <v>82</v>
      </c>
    </row>
    <row r="40" spans="1:1" x14ac:dyDescent="0.25">
      <c r="A40" s="40" t="s">
        <v>83</v>
      </c>
    </row>
    <row r="41" spans="1:1" x14ac:dyDescent="0.25">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I28"/>
  <sheetViews>
    <sheetView view="pageBreakPreview" zoomScaleNormal="100" zoomScaleSheetLayoutView="100" workbookViewId="0">
      <selection activeCell="D16" sqref="D16"/>
    </sheetView>
  </sheetViews>
  <sheetFormatPr defaultColWidth="8.85546875" defaultRowHeight="15" x14ac:dyDescent="0.25"/>
  <cols>
    <col min="1" max="2" width="8.85546875" style="40" customWidth="1"/>
    <col min="3" max="5" width="11.28515625" style="40" bestFit="1" customWidth="1"/>
    <col min="6" max="6" width="8.85546875" style="40" customWidth="1"/>
    <col min="7" max="16384" width="8.85546875" style="40"/>
  </cols>
  <sheetData>
    <row r="1" spans="1:9" ht="15.75" x14ac:dyDescent="0.25">
      <c r="A1" s="138" t="s">
        <v>54</v>
      </c>
      <c r="B1" s="137"/>
      <c r="C1" s="137"/>
      <c r="D1" s="137"/>
      <c r="E1" s="137"/>
      <c r="F1" s="137"/>
      <c r="G1" s="137"/>
      <c r="H1" s="137"/>
      <c r="I1" s="137"/>
    </row>
    <row r="2" spans="1:9" x14ac:dyDescent="0.25">
      <c r="A2" s="42" t="s">
        <v>56</v>
      </c>
      <c r="B2" s="39"/>
      <c r="C2" s="39"/>
      <c r="D2" s="39"/>
      <c r="E2" s="39"/>
      <c r="F2" s="39"/>
      <c r="G2" s="42" t="s">
        <v>57</v>
      </c>
      <c r="H2" s="42"/>
      <c r="I2" s="39"/>
    </row>
    <row r="3" spans="1:9" ht="18.75" x14ac:dyDescent="0.3">
      <c r="A3" s="139" t="s">
        <v>85</v>
      </c>
      <c r="B3" s="140"/>
      <c r="C3" s="140"/>
      <c r="D3" s="140"/>
      <c r="E3" s="140"/>
      <c r="F3" s="140"/>
      <c r="G3" s="140"/>
      <c r="H3" s="140"/>
      <c r="I3" s="140"/>
    </row>
    <row r="4" spans="1:9" x14ac:dyDescent="0.25">
      <c r="A4" s="53" t="s">
        <v>93</v>
      </c>
    </row>
    <row r="5" spans="1:9" x14ac:dyDescent="0.25">
      <c r="A5" s="43" t="str">
        <f>[0]!Lowest_bidder_item9</f>
        <v>M/s. Vikas Enterprises, Udaipur</v>
      </c>
    </row>
    <row r="6" spans="1:9" x14ac:dyDescent="0.25">
      <c r="A6" s="43"/>
    </row>
    <row r="8" spans="1:9" s="47" customFormat="1" ht="31.15" customHeight="1" x14ac:dyDescent="0.25">
      <c r="A8" s="51" t="s">
        <v>89</v>
      </c>
      <c r="B8" s="46"/>
      <c r="C8" s="141" t="s">
        <v>3</v>
      </c>
      <c r="D8" s="137"/>
      <c r="E8" s="137"/>
      <c r="F8" s="137"/>
      <c r="G8" s="137"/>
      <c r="H8" s="137"/>
      <c r="I8" s="137"/>
    </row>
    <row r="9" spans="1:9" s="47" customFormat="1" ht="15.6" customHeight="1" x14ac:dyDescent="0.25">
      <c r="A9" s="47" t="s">
        <v>59</v>
      </c>
      <c r="C9" s="47" t="str">
        <f>'Compare-9'!B4</f>
        <v>27/2024-25</v>
      </c>
      <c r="E9" s="52" t="str">
        <f>'Compare-9'!G4</f>
        <v>ITEM-9</v>
      </c>
    </row>
    <row r="10" spans="1:9" s="47" customFormat="1" ht="15.6" customHeight="1" x14ac:dyDescent="0.25">
      <c r="A10" s="47" t="s">
        <v>60</v>
      </c>
      <c r="C10" s="48">
        <f>'Compare-9'!F4</f>
        <v>45728</v>
      </c>
    </row>
    <row r="11" spans="1:9" s="47" customFormat="1" ht="15.6" customHeight="1" x14ac:dyDescent="0.25">
      <c r="A11" s="47" t="s">
        <v>61</v>
      </c>
      <c r="D11" s="48">
        <f>'Compare-9'!G10</f>
        <v>45740</v>
      </c>
    </row>
    <row r="12" spans="1:9" s="47" customFormat="1" ht="15.6" customHeight="1" x14ac:dyDescent="0.25">
      <c r="A12" s="47" t="s">
        <v>62</v>
      </c>
      <c r="E12" s="48">
        <f>D11</f>
        <v>45740</v>
      </c>
    </row>
    <row r="13" spans="1:9" s="47" customFormat="1" ht="15.6" customHeight="1" x14ac:dyDescent="0.25">
      <c r="A13" s="47" t="s">
        <v>63</v>
      </c>
    </row>
    <row r="14" spans="1:9" s="47" customFormat="1" ht="74.45" customHeight="1" x14ac:dyDescent="0.25">
      <c r="A14" s="136" t="e">
        <f ca="1">_xlfn.CONCAT("       Your tender for the above work has been accepted on behalf of the Governor of Rajasthan @  ",ROUND([0]!percentile_item9,2), "%  ",[0]!Above_Below_item9," amounting to Rs.  ",ROUND([0]!Bid_Amount_item9,0),"/-- In words Rupees. ",NumToWords([0]!Bid_Amount_item9),"by the undersingned Executive Engineer PWD Electric Divistion Udaipur.")</f>
        <v>#NAME?</v>
      </c>
      <c r="B14" s="137"/>
      <c r="C14" s="137"/>
      <c r="D14" s="137"/>
      <c r="E14" s="137"/>
      <c r="F14" s="137"/>
      <c r="G14" s="137"/>
      <c r="H14" s="137"/>
      <c r="I14" s="137"/>
    </row>
    <row r="15" spans="1:9" s="47" customFormat="1" ht="109.9" customHeight="1" x14ac:dyDescent="0.25">
      <c r="A15" s="136" t="s">
        <v>86</v>
      </c>
      <c r="B15" s="137"/>
      <c r="C15" s="137"/>
      <c r="D15" s="137"/>
      <c r="E15" s="137"/>
      <c r="F15" s="137"/>
      <c r="G15" s="137"/>
      <c r="H15" s="137"/>
      <c r="I15" s="137"/>
    </row>
    <row r="16" spans="1:9" s="47" customFormat="1" ht="15.6" customHeight="1" x14ac:dyDescent="0.25">
      <c r="A16" s="47" t="s">
        <v>87</v>
      </c>
    </row>
    <row r="17" spans="1:9" s="47" customFormat="1" ht="15.6" customHeight="1" x14ac:dyDescent="0.25"/>
    <row r="18" spans="1:9" s="47" customFormat="1" ht="15.6" customHeight="1" x14ac:dyDescent="0.25">
      <c r="A18" s="47" t="s">
        <v>71</v>
      </c>
    </row>
    <row r="19" spans="1:9" s="47" customFormat="1" ht="15.6" customHeight="1" x14ac:dyDescent="0.25"/>
    <row r="20" spans="1:9" s="47" customFormat="1" ht="15.6" customHeight="1" x14ac:dyDescent="0.25">
      <c r="A20" s="47" t="s">
        <v>72</v>
      </c>
    </row>
    <row r="21" spans="1:9" s="47" customFormat="1" ht="15.6" customHeight="1" x14ac:dyDescent="0.25">
      <c r="A21" s="47" t="s">
        <v>73</v>
      </c>
    </row>
    <row r="22" spans="1:9" s="47" customFormat="1" ht="15.6" customHeight="1" x14ac:dyDescent="0.25">
      <c r="A22" s="49" t="s">
        <v>56</v>
      </c>
      <c r="B22" s="49"/>
      <c r="C22" s="49"/>
      <c r="D22" s="49"/>
      <c r="E22" s="49"/>
      <c r="F22" s="49"/>
      <c r="G22" s="49" t="s">
        <v>57</v>
      </c>
      <c r="H22" s="49"/>
      <c r="I22" s="49"/>
    </row>
    <row r="23" spans="1:9" s="47" customFormat="1" ht="15.6" customHeight="1" x14ac:dyDescent="0.25">
      <c r="A23" s="47" t="s">
        <v>74</v>
      </c>
    </row>
    <row r="24" spans="1:9" s="47" customFormat="1" ht="15.6" customHeight="1" x14ac:dyDescent="0.25">
      <c r="A24" s="47" t="s">
        <v>88</v>
      </c>
    </row>
    <row r="25" spans="1:9" s="47" customFormat="1" ht="15.6" customHeight="1" x14ac:dyDescent="0.25">
      <c r="A25" s="47" t="s">
        <v>90</v>
      </c>
    </row>
    <row r="26" spans="1:9" s="47" customFormat="1" ht="15.6" customHeight="1" x14ac:dyDescent="0.25"/>
    <row r="27" spans="1:9" x14ac:dyDescent="0.25">
      <c r="A27" s="40" t="s">
        <v>83</v>
      </c>
    </row>
    <row r="28" spans="1:9" x14ac:dyDescent="0.25">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G25"/>
  <sheetViews>
    <sheetView view="pageBreakPreview" zoomScaleNormal="100" zoomScaleSheetLayoutView="100" workbookViewId="0">
      <selection activeCell="H18" sqref="H18"/>
    </sheetView>
  </sheetViews>
  <sheetFormatPr defaultColWidth="9.140625" defaultRowHeight="15" x14ac:dyDescent="0.25"/>
  <cols>
    <col min="1" max="1" width="9.140625" style="6" customWidth="1"/>
    <col min="2" max="2" width="49.28515625" style="6" customWidth="1"/>
    <col min="3" max="3" width="12.7109375" style="6" customWidth="1"/>
    <col min="4" max="4" width="9" style="6" customWidth="1"/>
    <col min="5" max="5" width="6.7109375" style="22" customWidth="1"/>
    <col min="6" max="6" width="26" style="6" customWidth="1"/>
    <col min="7" max="7" width="14.28515625" style="6" customWidth="1"/>
    <col min="8" max="16384" width="9.140625" style="6"/>
  </cols>
  <sheetData>
    <row r="1" spans="1:7" x14ac:dyDescent="0.25">
      <c r="A1" s="102" t="s">
        <v>0</v>
      </c>
      <c r="B1" s="103"/>
      <c r="C1" s="103"/>
      <c r="D1" s="103"/>
      <c r="E1" s="103"/>
      <c r="F1" s="103"/>
      <c r="G1" s="103"/>
    </row>
    <row r="2" spans="1:7" ht="15.6" customHeight="1" x14ac:dyDescent="0.25">
      <c r="A2" s="104" t="s">
        <v>1</v>
      </c>
      <c r="B2" s="103"/>
      <c r="C2" s="103"/>
      <c r="D2" s="103"/>
      <c r="E2" s="103"/>
      <c r="F2" s="103"/>
      <c r="G2" s="103"/>
    </row>
    <row r="3" spans="1:7" ht="31.15" customHeight="1" x14ac:dyDescent="0.25">
      <c r="A3" s="7" t="s">
        <v>2</v>
      </c>
      <c r="C3" s="106" t="s">
        <v>3</v>
      </c>
      <c r="D3" s="106"/>
      <c r="E3" s="106"/>
      <c r="F3" s="106"/>
      <c r="G3" s="106"/>
    </row>
    <row r="4" spans="1:7" x14ac:dyDescent="0.25">
      <c r="A4" s="58" t="s">
        <v>4</v>
      </c>
      <c r="B4" s="77" t="str">
        <f>'Compare-1'!B4</f>
        <v>27/2024-25</v>
      </c>
      <c r="C4" s="142" t="s">
        <v>5</v>
      </c>
      <c r="D4" s="143"/>
      <c r="E4" s="143"/>
      <c r="F4" s="79">
        <f>'Compare-1'!F4</f>
        <v>45728</v>
      </c>
      <c r="G4" s="75" t="s">
        <v>104</v>
      </c>
    </row>
    <row r="5" spans="1:7" s="9" customFormat="1" x14ac:dyDescent="0.2">
      <c r="A5" s="62" t="s">
        <v>92</v>
      </c>
      <c r="B5" s="62"/>
      <c r="C5" s="144">
        <f>C12</f>
        <v>641694</v>
      </c>
      <c r="D5" s="143"/>
      <c r="E5" s="63"/>
      <c r="F5" s="64" t="s">
        <v>98</v>
      </c>
      <c r="G5" s="65">
        <v>13000</v>
      </c>
    </row>
    <row r="6" spans="1:7" s="9" customFormat="1" x14ac:dyDescent="0.2">
      <c r="A6" s="62" t="s">
        <v>7</v>
      </c>
      <c r="B6" s="62"/>
      <c r="C6" s="85">
        <f>ROUNDUP(F17,0)</f>
        <v>609610</v>
      </c>
      <c r="D6" s="86"/>
      <c r="E6" s="66"/>
      <c r="F6" s="64" t="s">
        <v>91</v>
      </c>
      <c r="G6" s="67">
        <v>9</v>
      </c>
    </row>
    <row r="7" spans="1:7" s="9" customFormat="1" x14ac:dyDescent="0.2">
      <c r="A7" s="87" t="s">
        <v>8</v>
      </c>
      <c r="B7" s="84"/>
      <c r="C7" s="87" t="s">
        <v>9</v>
      </c>
      <c r="D7" s="84"/>
      <c r="E7" s="57"/>
      <c r="F7" s="68" t="s">
        <v>10</v>
      </c>
      <c r="G7" s="69">
        <v>4</v>
      </c>
    </row>
    <row r="8" spans="1:7" s="9" customFormat="1" x14ac:dyDescent="0.2">
      <c r="A8" s="87" t="s">
        <v>11</v>
      </c>
      <c r="B8" s="84"/>
      <c r="C8" s="57" t="s">
        <v>12</v>
      </c>
      <c r="D8" s="70"/>
      <c r="E8" s="57"/>
      <c r="F8" s="68" t="s">
        <v>13</v>
      </c>
      <c r="G8" s="64">
        <v>4</v>
      </c>
    </row>
    <row r="9" spans="1:7" s="9" customFormat="1" x14ac:dyDescent="0.2">
      <c r="A9" s="87" t="s">
        <v>14</v>
      </c>
      <c r="B9" s="84"/>
      <c r="C9" s="88">
        <f>C6</f>
        <v>609610</v>
      </c>
      <c r="D9" s="86"/>
      <c r="E9" s="71"/>
      <c r="F9" s="68" t="s">
        <v>15</v>
      </c>
      <c r="G9" s="76">
        <f>F4</f>
        <v>45728</v>
      </c>
    </row>
    <row r="10" spans="1:7" s="9" customFormat="1" x14ac:dyDescent="0.2">
      <c r="A10" s="87" t="s">
        <v>16</v>
      </c>
      <c r="B10" s="84"/>
      <c r="C10" s="87" t="s">
        <v>17</v>
      </c>
      <c r="D10" s="84"/>
      <c r="E10" s="84"/>
      <c r="F10" s="68" t="s">
        <v>18</v>
      </c>
      <c r="G10" s="79">
        <f>'Compare-1'!G8</f>
        <v>45740</v>
      </c>
    </row>
    <row r="11" spans="1:7" ht="27.75" customHeight="1" x14ac:dyDescent="0.25">
      <c r="A11" s="10" t="s">
        <v>19</v>
      </c>
      <c r="B11" s="11" t="s">
        <v>20</v>
      </c>
      <c r="C11" s="11" t="s">
        <v>96</v>
      </c>
      <c r="D11" s="89" t="s">
        <v>21</v>
      </c>
      <c r="E11" s="90"/>
      <c r="F11" s="101" t="s">
        <v>97</v>
      </c>
      <c r="G11" s="98"/>
    </row>
    <row r="12" spans="1:7" ht="22.9" customHeight="1" x14ac:dyDescent="0.25">
      <c r="A12" s="19">
        <v>1</v>
      </c>
      <c r="B12" s="12" t="s">
        <v>100</v>
      </c>
      <c r="C12" s="19">
        <v>641694</v>
      </c>
      <c r="D12" s="23">
        <v>0</v>
      </c>
      <c r="E12" s="29" t="s">
        <v>22</v>
      </c>
      <c r="F12" s="97">
        <f>IF(E12="below",ROUNDUP(C12*(1-D12/100),0),ROUNDUP(C12*(1+D12/100),0))</f>
        <v>641694</v>
      </c>
      <c r="G12" s="98"/>
    </row>
    <row r="13" spans="1:7" ht="18.600000000000001" customHeight="1" x14ac:dyDescent="0.25">
      <c r="A13" s="19">
        <v>2</v>
      </c>
      <c r="B13" s="12" t="s">
        <v>101</v>
      </c>
      <c r="C13" s="54">
        <f>$C$12</f>
        <v>641694</v>
      </c>
      <c r="D13" s="23">
        <v>1</v>
      </c>
      <c r="E13" s="29" t="s">
        <v>22</v>
      </c>
      <c r="F13" s="97">
        <f t="shared" ref="F13:F15" si="0">IF(E13="below",ROUNDUP(C13*(1-D13/100),0),ROUNDUP(C13*(1+D13/100),0))</f>
        <v>635278</v>
      </c>
      <c r="G13" s="98"/>
    </row>
    <row r="14" spans="1:7" ht="18.600000000000001" customHeight="1" x14ac:dyDescent="0.25">
      <c r="A14" s="19">
        <v>3</v>
      </c>
      <c r="B14" s="12" t="s">
        <v>102</v>
      </c>
      <c r="C14" s="54">
        <f>$C$12</f>
        <v>641694</v>
      </c>
      <c r="D14" s="23">
        <v>1</v>
      </c>
      <c r="E14" s="29" t="s">
        <v>22</v>
      </c>
      <c r="F14" s="97">
        <f t="shared" si="0"/>
        <v>635278</v>
      </c>
      <c r="G14" s="98"/>
    </row>
    <row r="15" spans="1:7" ht="21" customHeight="1" x14ac:dyDescent="0.25">
      <c r="A15" s="19">
        <v>4</v>
      </c>
      <c r="B15" s="12" t="s">
        <v>103</v>
      </c>
      <c r="C15" s="54">
        <f t="shared" ref="C15" si="1">$C$12</f>
        <v>641694</v>
      </c>
      <c r="D15" s="23">
        <v>5</v>
      </c>
      <c r="E15" s="29" t="s">
        <v>22</v>
      </c>
      <c r="F15" s="97">
        <f t="shared" si="0"/>
        <v>609610</v>
      </c>
      <c r="G15" s="98"/>
    </row>
    <row r="16" spans="1:7" ht="4.1500000000000004" customHeight="1" x14ac:dyDescent="0.25">
      <c r="D16" s="22"/>
      <c r="E16" s="6"/>
    </row>
    <row r="17" spans="1:7" ht="15" customHeight="1" thickBot="1" x14ac:dyDescent="0.3">
      <c r="A17" s="25" t="s">
        <v>23</v>
      </c>
      <c r="B17" s="26" t="str">
        <f>INDEX(B12:B15,MATCH(MIN(F12:F15),F12:F15,0))</f>
        <v>M/s. Mitul  Enterprises, 1 1839 Neemuch Mata Scheme, Dewali, Udaipur</v>
      </c>
      <c r="C17" s="26"/>
      <c r="D17" s="27">
        <f>INDEX(D12:D15,MATCH(MIN(F12:F15),F12:F15,0))</f>
        <v>5</v>
      </c>
      <c r="E17" s="26" t="str">
        <f>INDEX(E12:E15,MATCH(MIN(F12:F15),F12:F15,0))</f>
        <v>BELOW</v>
      </c>
      <c r="F17" s="74">
        <f>ROUND(MIN(F12:F15),0)</f>
        <v>609610</v>
      </c>
    </row>
    <row r="18" spans="1:7" ht="57" customHeight="1" x14ac:dyDescent="0.25">
      <c r="A18" s="8"/>
      <c r="B18" s="8"/>
      <c r="C18" s="91" t="e">
        <f ca="1">_xlfn.CONCAT("The tender of the lowest bidder "," ", Lowest_bidder_item10," @ ",ROUND(percentile_item10,2),"%  ",Above_Below_item10," amounting to Rs.  ",ROUND(Bid_Amount_item10,0),"/-- In words Rupees. ",NumToWords(Bid_Amount_item10),".")</f>
        <v>#NAME?</v>
      </c>
      <c r="D18" s="92"/>
      <c r="E18" s="92"/>
      <c r="F18" s="93"/>
    </row>
    <row r="19" spans="1:7" ht="13.15" customHeight="1" x14ac:dyDescent="0.25">
      <c r="A19" s="8"/>
      <c r="B19" s="8"/>
      <c r="C19" s="28"/>
      <c r="D19" s="99"/>
      <c r="E19" s="81"/>
      <c r="F19" s="100"/>
    </row>
    <row r="20" spans="1:7" ht="15" customHeight="1" thickBot="1" x14ac:dyDescent="0.3">
      <c r="A20" s="8"/>
      <c r="B20" s="8"/>
      <c r="C20" s="94" t="s">
        <v>24</v>
      </c>
      <c r="D20" s="95"/>
      <c r="E20" s="95"/>
      <c r="F20" s="96"/>
    </row>
    <row r="21" spans="1:7" ht="15" customHeight="1" x14ac:dyDescent="0.25">
      <c r="A21" s="8"/>
      <c r="B21" s="8"/>
      <c r="C21" s="50"/>
      <c r="D21" s="73"/>
      <c r="E21" s="73"/>
      <c r="F21" s="73"/>
    </row>
    <row r="22" spans="1:7" ht="15" customHeight="1" x14ac:dyDescent="0.25">
      <c r="A22" s="8"/>
      <c r="B22" s="8"/>
      <c r="C22" s="50"/>
      <c r="D22" s="73"/>
      <c r="E22" s="73"/>
      <c r="F22" s="73"/>
    </row>
    <row r="23" spans="1:7" x14ac:dyDescent="0.25">
      <c r="D23" s="22"/>
      <c r="E23" s="6"/>
      <c r="F23" s="82"/>
      <c r="G23" s="81"/>
    </row>
    <row r="24" spans="1:7" s="13" customFormat="1" ht="18" customHeight="1" x14ac:dyDescent="0.3">
      <c r="A24" s="80" t="s">
        <v>25</v>
      </c>
      <c r="B24" s="81"/>
      <c r="C24" s="81"/>
      <c r="D24" s="81"/>
      <c r="E24" s="81"/>
      <c r="F24" s="81"/>
      <c r="G24" s="81"/>
    </row>
    <row r="25" spans="1:7" s="13" customFormat="1" ht="18" customHeight="1" x14ac:dyDescent="0.3">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E22"/>
  <sheetViews>
    <sheetView view="pageBreakPreview" topLeftCell="A7" zoomScaleNormal="100" zoomScaleSheetLayoutView="100" workbookViewId="0">
      <selection activeCell="B16" sqref="B16:D16"/>
    </sheetView>
  </sheetViews>
  <sheetFormatPr defaultRowHeight="15" x14ac:dyDescent="0.25"/>
  <cols>
    <col min="1" max="1" width="8" customWidth="1"/>
    <col min="2" max="2" width="15.85546875" style="16" customWidth="1"/>
    <col min="3" max="3" width="8.85546875" customWidth="1"/>
    <col min="4" max="4" width="4.85546875" customWidth="1"/>
    <col min="5" max="5" width="62.42578125" customWidth="1"/>
  </cols>
  <sheetData>
    <row r="1" spans="1:5" ht="16.5" customHeight="1" x14ac:dyDescent="0.25">
      <c r="A1" s="127" t="s">
        <v>26</v>
      </c>
      <c r="B1" s="114"/>
      <c r="C1" s="115"/>
      <c r="D1" s="115"/>
      <c r="E1" s="115"/>
    </row>
    <row r="2" spans="1:5" ht="35.1" customHeight="1" x14ac:dyDescent="0.25">
      <c r="A2" s="1">
        <v>1</v>
      </c>
      <c r="B2" s="116" t="s">
        <v>27</v>
      </c>
      <c r="C2" s="117"/>
      <c r="D2" s="118"/>
      <c r="E2" s="3"/>
    </row>
    <row r="3" spans="1:5" s="16" customFormat="1" ht="15" customHeight="1" x14ac:dyDescent="0.25">
      <c r="A3" s="55" t="s">
        <v>28</v>
      </c>
      <c r="B3" s="119" t="s">
        <v>29</v>
      </c>
      <c r="C3" s="117"/>
      <c r="D3" s="118"/>
      <c r="E3" s="30" t="str">
        <f>'Compare-10'!C3</f>
        <v xml:space="preserve">Electric cabling and maintenance work in Sahelion ki Bari , Udaipur  </v>
      </c>
    </row>
    <row r="4" spans="1:5" ht="15" customHeight="1" x14ac:dyDescent="0.25">
      <c r="A4" s="4"/>
      <c r="B4" s="128" t="s">
        <v>30</v>
      </c>
      <c r="C4" s="117"/>
      <c r="D4" s="118"/>
      <c r="E4" s="21"/>
    </row>
    <row r="5" spans="1:5" ht="15" customHeight="1" x14ac:dyDescent="0.25">
      <c r="A5" s="1">
        <v>3</v>
      </c>
      <c r="B5" s="119" t="s">
        <v>31</v>
      </c>
      <c r="C5" s="117"/>
      <c r="D5" s="118"/>
      <c r="E5" s="3"/>
    </row>
    <row r="6" spans="1:5" ht="15" customHeight="1" x14ac:dyDescent="0.25">
      <c r="A6" s="1"/>
      <c r="B6" s="129" t="s">
        <v>32</v>
      </c>
      <c r="C6" s="117"/>
      <c r="D6" s="118"/>
      <c r="E6" s="3">
        <f>'Compare-10'!C5</f>
        <v>641694</v>
      </c>
    </row>
    <row r="7" spans="1:5" ht="50.45" customHeight="1" x14ac:dyDescent="0.25">
      <c r="A7" s="1">
        <v>4</v>
      </c>
      <c r="B7" s="119" t="s">
        <v>33</v>
      </c>
      <c r="C7" s="117"/>
      <c r="D7" s="118"/>
      <c r="E7" s="3"/>
    </row>
    <row r="8" spans="1:5" ht="35.1" customHeight="1" x14ac:dyDescent="0.25">
      <c r="A8" s="1">
        <v>5</v>
      </c>
      <c r="B8" s="116" t="s">
        <v>15</v>
      </c>
      <c r="C8" s="117"/>
      <c r="D8" s="118"/>
      <c r="E8" s="20">
        <f>'Compare-10'!F4</f>
        <v>45728</v>
      </c>
    </row>
    <row r="9" spans="1:5" ht="34.9" customHeight="1" x14ac:dyDescent="0.25">
      <c r="A9" s="1">
        <v>6</v>
      </c>
      <c r="B9" s="116" t="s">
        <v>34</v>
      </c>
      <c r="C9" s="117"/>
      <c r="D9" s="118"/>
      <c r="E9" s="20">
        <f>'Compare-10'!G10</f>
        <v>45740</v>
      </c>
    </row>
    <row r="10" spans="1:5" ht="35.1" customHeight="1" x14ac:dyDescent="0.25">
      <c r="A10" s="1">
        <v>7</v>
      </c>
      <c r="B10" s="116" t="s">
        <v>35</v>
      </c>
      <c r="C10" s="117"/>
      <c r="D10" s="118"/>
      <c r="E10" s="5">
        <f>'Compare-10'!G7</f>
        <v>4</v>
      </c>
    </row>
    <row r="11" spans="1:5" ht="34.9" customHeight="1" x14ac:dyDescent="0.25">
      <c r="A11" s="1">
        <v>8</v>
      </c>
      <c r="B11" s="116" t="s">
        <v>36</v>
      </c>
      <c r="C11" s="117"/>
      <c r="D11" s="118"/>
      <c r="E11" s="5">
        <f>'Compare-10'!G8</f>
        <v>4</v>
      </c>
    </row>
    <row r="12" spans="1:5" ht="34.9" customHeight="1" x14ac:dyDescent="0.25">
      <c r="A12" s="1">
        <v>9</v>
      </c>
      <c r="B12" s="119" t="s">
        <v>37</v>
      </c>
      <c r="C12" s="117"/>
      <c r="D12" s="118"/>
      <c r="E12" s="2" t="s">
        <v>38</v>
      </c>
    </row>
    <row r="13" spans="1:5" ht="35.1" customHeight="1" x14ac:dyDescent="0.25">
      <c r="A13" s="1">
        <v>10</v>
      </c>
      <c r="B13" s="116" t="s">
        <v>39</v>
      </c>
      <c r="C13" s="117"/>
      <c r="D13" s="118"/>
      <c r="E13" s="37" t="s">
        <v>9</v>
      </c>
    </row>
    <row r="14" spans="1:5" ht="40.5" customHeight="1" x14ac:dyDescent="0.25">
      <c r="A14" s="55" t="s">
        <v>40</v>
      </c>
      <c r="B14" s="120" t="s">
        <v>41</v>
      </c>
      <c r="C14" s="121"/>
      <c r="D14" s="121"/>
      <c r="E14" s="38" t="str">
        <f>_xlfn.CONCAT(TEXT(ROUND([0]!percentile_item10,4), "#,##0.00"), " % ", [0]!Above_Below_item10, ". No Condition.")</f>
        <v>5.00 % BELOW. No Condition.</v>
      </c>
    </row>
    <row r="15" spans="1:5" ht="44.25" customHeight="1" x14ac:dyDescent="0.25">
      <c r="A15" s="55" t="s">
        <v>42</v>
      </c>
      <c r="B15" s="119" t="s">
        <v>43</v>
      </c>
      <c r="C15" s="117"/>
      <c r="D15" s="118"/>
      <c r="E15" s="33" t="s">
        <v>44</v>
      </c>
    </row>
    <row r="16" spans="1:5" ht="35.1" customHeight="1" x14ac:dyDescent="0.25">
      <c r="A16" s="1">
        <v>13</v>
      </c>
      <c r="B16" s="116" t="s">
        <v>45</v>
      </c>
      <c r="C16" s="117"/>
      <c r="D16" s="118"/>
      <c r="E16" s="15" t="str">
        <f>[0]!Lowest_bidder_item10</f>
        <v>M/s. Mitul  Enterprises, 1 1839 Neemuch Mata Scheme, Dewali, Udaipur</v>
      </c>
    </row>
    <row r="17" spans="1:5" ht="52.15" customHeight="1" x14ac:dyDescent="0.25">
      <c r="A17" s="56" t="s">
        <v>46</v>
      </c>
      <c r="B17" s="125" t="s">
        <v>47</v>
      </c>
      <c r="C17" s="121"/>
      <c r="D17" s="126"/>
      <c r="E17" s="2" t="s">
        <v>48</v>
      </c>
    </row>
    <row r="18" spans="1:5" x14ac:dyDescent="0.25">
      <c r="A18" s="35">
        <v>15</v>
      </c>
      <c r="B18" s="122" t="s">
        <v>49</v>
      </c>
      <c r="C18" s="123"/>
      <c r="D18" s="124"/>
      <c r="E18" s="31" t="s">
        <v>50</v>
      </c>
    </row>
    <row r="19" spans="1:5" x14ac:dyDescent="0.25">
      <c r="A19" s="36"/>
      <c r="B19" s="107" t="s">
        <v>51</v>
      </c>
      <c r="C19" s="108"/>
      <c r="D19" s="109"/>
      <c r="E19" s="32">
        <f>'Compare-10'!G10+20</f>
        <v>45760</v>
      </c>
    </row>
    <row r="20" spans="1:5" x14ac:dyDescent="0.25">
      <c r="A20" s="34">
        <v>16</v>
      </c>
      <c r="B20" s="110" t="s">
        <v>52</v>
      </c>
      <c r="C20" s="111"/>
      <c r="D20" s="112"/>
      <c r="E20" s="2" t="s">
        <v>53</v>
      </c>
    </row>
    <row r="21" spans="1:5" ht="35.1" customHeight="1" x14ac:dyDescent="0.25">
      <c r="A21" s="17"/>
      <c r="B21" s="18"/>
      <c r="C21" s="18"/>
      <c r="D21" s="18"/>
      <c r="E21" s="18"/>
    </row>
    <row r="22" spans="1:5" ht="15" customHeight="1" x14ac:dyDescent="0.25">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I41"/>
  <sheetViews>
    <sheetView view="pageBreakPreview" zoomScaleNormal="100" zoomScaleSheetLayoutView="100" workbookViewId="0">
      <selection activeCell="A16" sqref="A16:I16"/>
    </sheetView>
  </sheetViews>
  <sheetFormatPr defaultColWidth="8.85546875" defaultRowHeight="15" x14ac:dyDescent="0.25"/>
  <cols>
    <col min="1" max="2" width="8.85546875" style="40" customWidth="1"/>
    <col min="3" max="5" width="10.28515625" style="40" bestFit="1" customWidth="1"/>
    <col min="6" max="6" width="8.85546875" style="40" customWidth="1"/>
    <col min="7" max="16384" width="8.85546875" style="40"/>
  </cols>
  <sheetData>
    <row r="1" spans="1:9" x14ac:dyDescent="0.25">
      <c r="A1" s="132" t="s">
        <v>54</v>
      </c>
      <c r="B1" s="131"/>
      <c r="C1" s="131"/>
      <c r="D1" s="131"/>
      <c r="E1" s="131"/>
      <c r="F1" s="131"/>
      <c r="G1" s="131"/>
      <c r="H1" s="131"/>
      <c r="I1" s="131"/>
    </row>
    <row r="2" spans="1:9" x14ac:dyDescent="0.25">
      <c r="A2" s="39"/>
      <c r="B2" s="39"/>
      <c r="C2" s="39"/>
      <c r="D2" s="39"/>
      <c r="E2" s="39"/>
      <c r="F2" s="39"/>
      <c r="G2" s="39"/>
      <c r="H2" s="41" t="s">
        <v>55</v>
      </c>
      <c r="I2" s="39"/>
    </row>
    <row r="3" spans="1:9" x14ac:dyDescent="0.25">
      <c r="A3" s="42" t="s">
        <v>56</v>
      </c>
      <c r="B3" s="39"/>
      <c r="C3" s="39"/>
      <c r="D3" s="39"/>
      <c r="E3" s="39"/>
      <c r="F3" s="39"/>
      <c r="G3" s="42" t="s">
        <v>57</v>
      </c>
      <c r="H3" s="42"/>
      <c r="I3" s="39"/>
    </row>
    <row r="4" spans="1:9" x14ac:dyDescent="0.25">
      <c r="A4" s="133" t="s">
        <v>94</v>
      </c>
      <c r="B4" s="131"/>
      <c r="C4" s="131"/>
      <c r="D4" s="131"/>
      <c r="E4" s="131"/>
      <c r="F4" s="131"/>
      <c r="G4" s="131"/>
      <c r="H4" s="131"/>
      <c r="I4" s="131"/>
    </row>
    <row r="5" spans="1:9" x14ac:dyDescent="0.25">
      <c r="A5" s="53" t="s">
        <v>93</v>
      </c>
    </row>
    <row r="6" spans="1:9" x14ac:dyDescent="0.25">
      <c r="A6" s="43" t="str">
        <f>[0]!Lowest_bidder_item10</f>
        <v>M/s. Mitul  Enterprises, 1 1839 Neemuch Mata Scheme, Dewali, Udaipur</v>
      </c>
    </row>
    <row r="7" spans="1:9" x14ac:dyDescent="0.25">
      <c r="A7" s="43"/>
    </row>
    <row r="9" spans="1:9" ht="31.15" customHeight="1" x14ac:dyDescent="0.25">
      <c r="A9" s="44" t="s">
        <v>58</v>
      </c>
      <c r="B9" s="44"/>
      <c r="C9" s="134" t="str">
        <f>'Compare-10'!C3</f>
        <v xml:space="preserve">Electric cabling and maintenance work in Sahelion ki Bari , Udaipur  </v>
      </c>
      <c r="D9" s="131"/>
      <c r="E9" s="131"/>
      <c r="F9" s="131"/>
      <c r="G9" s="131"/>
      <c r="H9" s="131"/>
      <c r="I9" s="131"/>
    </row>
    <row r="10" spans="1:9" x14ac:dyDescent="0.25">
      <c r="A10" s="40" t="s">
        <v>59</v>
      </c>
      <c r="C10" s="40" t="str">
        <f>'Compare-10'!B4</f>
        <v>27/2024-25</v>
      </c>
      <c r="E10" s="40" t="str">
        <f>'Compare-10'!G4</f>
        <v>ITEM-10</v>
      </c>
    </row>
    <row r="11" spans="1:9" x14ac:dyDescent="0.25">
      <c r="A11" s="40" t="s">
        <v>60</v>
      </c>
      <c r="C11" s="45">
        <f>'Compare-10'!F4</f>
        <v>45728</v>
      </c>
    </row>
    <row r="12" spans="1:9" x14ac:dyDescent="0.25">
      <c r="A12" s="40" t="s">
        <v>61</v>
      </c>
      <c r="D12" s="45">
        <f>'Compare-10'!G10</f>
        <v>45740</v>
      </c>
    </row>
    <row r="13" spans="1:9" x14ac:dyDescent="0.25">
      <c r="A13" s="40" t="s">
        <v>62</v>
      </c>
      <c r="E13" s="45">
        <f>D12</f>
        <v>45740</v>
      </c>
    </row>
    <row r="14" spans="1:9" x14ac:dyDescent="0.25">
      <c r="A14" s="40" t="s">
        <v>63</v>
      </c>
    </row>
    <row r="15" spans="1:9" ht="64.900000000000006" customHeight="1" x14ac:dyDescent="0.25">
      <c r="A15" s="135" t="e">
        <f ca="1">_xlfn.CONCAT("       Your tender for the above work has been accepted on behalf of the Governor of Rajasthan @  ",ROUND([0]!percentile_item10,2), "%  ",[0]!Above_Below_item10," amounting to Rs.  ",ROUND([0]!Bid_Amount_item10,0),"/-- In words Rupees. ",NumToWords([0]!Bid_Amount_item10),".")</f>
        <v>#NAME?</v>
      </c>
      <c r="B15" s="131"/>
      <c r="C15" s="131"/>
      <c r="D15" s="131"/>
      <c r="E15" s="131"/>
      <c r="F15" s="131"/>
      <c r="G15" s="131"/>
      <c r="H15" s="131"/>
      <c r="I15" s="131"/>
    </row>
    <row r="16" spans="1:9" ht="66" customHeight="1" x14ac:dyDescent="0.25">
      <c r="A16" s="135" t="s">
        <v>64</v>
      </c>
      <c r="B16" s="131"/>
      <c r="C16" s="131"/>
      <c r="D16" s="131"/>
      <c r="E16" s="131"/>
      <c r="F16" s="131"/>
      <c r="G16" s="131"/>
      <c r="H16" s="131"/>
      <c r="I16" s="131"/>
    </row>
    <row r="18" spans="1:9" x14ac:dyDescent="0.25">
      <c r="A18" s="40" t="s">
        <v>65</v>
      </c>
    </row>
    <row r="19" spans="1:9" x14ac:dyDescent="0.25">
      <c r="A19" s="40" t="s">
        <v>66</v>
      </c>
      <c r="F19" s="130">
        <v>45741</v>
      </c>
      <c r="G19" s="131"/>
    </row>
    <row r="20" spans="1:9" x14ac:dyDescent="0.25">
      <c r="A20" s="40" t="s">
        <v>67</v>
      </c>
      <c r="F20" s="130">
        <v>46015.23</v>
      </c>
      <c r="G20" s="131"/>
    </row>
    <row r="21" spans="1:9" x14ac:dyDescent="0.25">
      <c r="A21" s="40" t="s">
        <v>68</v>
      </c>
    </row>
    <row r="22" spans="1:9" x14ac:dyDescent="0.25">
      <c r="A22" s="40" t="s">
        <v>69</v>
      </c>
    </row>
    <row r="23" spans="1:9" x14ac:dyDescent="0.25">
      <c r="A23" s="40" t="s">
        <v>70</v>
      </c>
    </row>
    <row r="25" spans="1:9" x14ac:dyDescent="0.25">
      <c r="A25" s="40" t="s">
        <v>71</v>
      </c>
    </row>
    <row r="27" spans="1:9" x14ac:dyDescent="0.25">
      <c r="A27" s="40" t="s">
        <v>72</v>
      </c>
    </row>
    <row r="28" spans="1:9" x14ac:dyDescent="0.25">
      <c r="A28" s="40" t="s">
        <v>73</v>
      </c>
    </row>
    <row r="29" spans="1:9" x14ac:dyDescent="0.25">
      <c r="A29" s="42" t="s">
        <v>56</v>
      </c>
      <c r="B29" s="39"/>
      <c r="C29" s="39"/>
      <c r="D29" s="39"/>
      <c r="E29" s="39"/>
      <c r="F29" s="39"/>
      <c r="G29" s="42" t="s">
        <v>57</v>
      </c>
      <c r="H29" s="42"/>
      <c r="I29" s="39"/>
    </row>
    <row r="30" spans="1:9" x14ac:dyDescent="0.25">
      <c r="A30" s="40" t="s">
        <v>74</v>
      </c>
    </row>
    <row r="31" spans="1:9" x14ac:dyDescent="0.25">
      <c r="A31" s="40" t="s">
        <v>75</v>
      </c>
    </row>
    <row r="32" spans="1:9" x14ac:dyDescent="0.25">
      <c r="A32" s="40" t="s">
        <v>76</v>
      </c>
    </row>
    <row r="33" spans="1:1" x14ac:dyDescent="0.25">
      <c r="A33" s="40" t="s">
        <v>77</v>
      </c>
    </row>
    <row r="34" spans="1:1" x14ac:dyDescent="0.25">
      <c r="A34" s="40" t="s">
        <v>78</v>
      </c>
    </row>
    <row r="35" spans="1:1" x14ac:dyDescent="0.25">
      <c r="A35" s="40" t="s">
        <v>79</v>
      </c>
    </row>
    <row r="36" spans="1:1" x14ac:dyDescent="0.25">
      <c r="A36" s="40" t="s">
        <v>80</v>
      </c>
    </row>
    <row r="37" spans="1:1" x14ac:dyDescent="0.25">
      <c r="A37" s="40" t="s">
        <v>81</v>
      </c>
    </row>
    <row r="38" spans="1:1" x14ac:dyDescent="0.25">
      <c r="A38" s="40" t="s">
        <v>82</v>
      </c>
    </row>
    <row r="40" spans="1:1" x14ac:dyDescent="0.25">
      <c r="A40" s="40" t="s">
        <v>83</v>
      </c>
    </row>
    <row r="41" spans="1:1" x14ac:dyDescent="0.25">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I28"/>
  <sheetViews>
    <sheetView view="pageBreakPreview" zoomScaleNormal="100" zoomScaleSheetLayoutView="100" workbookViewId="0">
      <selection activeCell="H10" sqref="H10"/>
    </sheetView>
  </sheetViews>
  <sheetFormatPr defaultColWidth="8.85546875" defaultRowHeight="15" x14ac:dyDescent="0.25"/>
  <cols>
    <col min="1" max="2" width="8.85546875" style="40" customWidth="1"/>
    <col min="3" max="5" width="11.28515625" style="40" bestFit="1" customWidth="1"/>
    <col min="6" max="6" width="8.85546875" style="40" customWidth="1"/>
    <col min="7" max="16384" width="8.85546875" style="40"/>
  </cols>
  <sheetData>
    <row r="1" spans="1:9" ht="15.75" x14ac:dyDescent="0.25">
      <c r="A1" s="138" t="s">
        <v>54</v>
      </c>
      <c r="B1" s="137"/>
      <c r="C1" s="137"/>
      <c r="D1" s="137"/>
      <c r="E1" s="137"/>
      <c r="F1" s="137"/>
      <c r="G1" s="137"/>
      <c r="H1" s="137"/>
      <c r="I1" s="137"/>
    </row>
    <row r="2" spans="1:9" x14ac:dyDescent="0.25">
      <c r="A2" s="42" t="s">
        <v>56</v>
      </c>
      <c r="B2" s="39"/>
      <c r="C2" s="39"/>
      <c r="D2" s="39"/>
      <c r="E2" s="39"/>
      <c r="F2" s="39"/>
      <c r="G2" s="42" t="s">
        <v>57</v>
      </c>
      <c r="H2" s="42"/>
      <c r="I2" s="39"/>
    </row>
    <row r="3" spans="1:9" ht="18.75" x14ac:dyDescent="0.3">
      <c r="A3" s="139" t="s">
        <v>85</v>
      </c>
      <c r="B3" s="140"/>
      <c r="C3" s="140"/>
      <c r="D3" s="140"/>
      <c r="E3" s="140"/>
      <c r="F3" s="140"/>
      <c r="G3" s="140"/>
      <c r="H3" s="140"/>
      <c r="I3" s="140"/>
    </row>
    <row r="4" spans="1:9" x14ac:dyDescent="0.25">
      <c r="A4" s="53" t="s">
        <v>93</v>
      </c>
    </row>
    <row r="5" spans="1:9" x14ac:dyDescent="0.25">
      <c r="A5" s="43" t="str">
        <f>[0]!Lowest_bidder_item10</f>
        <v>M/s. Mitul  Enterprises, 1 1839 Neemuch Mata Scheme, Dewali, Udaipur</v>
      </c>
    </row>
    <row r="6" spans="1:9" x14ac:dyDescent="0.25">
      <c r="A6" s="43"/>
    </row>
    <row r="8" spans="1:9" s="47" customFormat="1" ht="31.15" customHeight="1" x14ac:dyDescent="0.25">
      <c r="A8" s="51" t="s">
        <v>89</v>
      </c>
      <c r="B8" s="46"/>
      <c r="C8" s="141" t="s">
        <v>3</v>
      </c>
      <c r="D8" s="137"/>
      <c r="E8" s="137"/>
      <c r="F8" s="137"/>
      <c r="G8" s="137"/>
      <c r="H8" s="137"/>
      <c r="I8" s="137"/>
    </row>
    <row r="9" spans="1:9" s="47" customFormat="1" ht="15.6" customHeight="1" x14ac:dyDescent="0.25">
      <c r="A9" s="47" t="s">
        <v>59</v>
      </c>
      <c r="C9" s="47" t="str">
        <f>'Compare-10'!B4</f>
        <v>27/2024-25</v>
      </c>
      <c r="E9" s="52" t="str">
        <f>'Compare-10'!G4</f>
        <v>ITEM-10</v>
      </c>
    </row>
    <row r="10" spans="1:9" s="47" customFormat="1" ht="15.6" customHeight="1" x14ac:dyDescent="0.25">
      <c r="A10" s="47" t="s">
        <v>60</v>
      </c>
      <c r="C10" s="48">
        <f>'Compare-10'!F4</f>
        <v>45728</v>
      </c>
    </row>
    <row r="11" spans="1:9" s="47" customFormat="1" ht="15.6" customHeight="1" x14ac:dyDescent="0.25">
      <c r="A11" s="47" t="s">
        <v>61</v>
      </c>
      <c r="D11" s="48">
        <f>'Compare-10'!G10</f>
        <v>45740</v>
      </c>
    </row>
    <row r="12" spans="1:9" s="47" customFormat="1" ht="15.6" customHeight="1" x14ac:dyDescent="0.25">
      <c r="A12" s="47" t="s">
        <v>62</v>
      </c>
      <c r="E12" s="48">
        <f>D11</f>
        <v>45740</v>
      </c>
    </row>
    <row r="13" spans="1:9" s="47" customFormat="1" ht="15.6" customHeight="1" x14ac:dyDescent="0.25">
      <c r="A13" s="47" t="s">
        <v>63</v>
      </c>
    </row>
    <row r="14" spans="1:9" s="47" customFormat="1" ht="74.45" customHeight="1" x14ac:dyDescent="0.25">
      <c r="A14" s="136" t="e">
        <f ca="1">_xlfn.CONCAT("       Your tender for the above work has been accepted on behalf of the Governor of Rajasthan @  ",ROUND([0]!percentile_item10,2), "%  ",[0]!Above_Below_item10," amounting to Rs.  ",ROUND([0]!Bid_Amount_item10,0),"/-- In words Rupees. ",NumToWords([0]!Bid_Amount_item10),"by the undersingned Executive Engineer PWD Electric Divistion Udaipur.")</f>
        <v>#NAME?</v>
      </c>
      <c r="B14" s="137"/>
      <c r="C14" s="137"/>
      <c r="D14" s="137"/>
      <c r="E14" s="137"/>
      <c r="F14" s="137"/>
      <c r="G14" s="137"/>
      <c r="H14" s="137"/>
      <c r="I14" s="137"/>
    </row>
    <row r="15" spans="1:9" s="47" customFormat="1" ht="109.9" customHeight="1" x14ac:dyDescent="0.25">
      <c r="A15" s="136" t="s">
        <v>86</v>
      </c>
      <c r="B15" s="137"/>
      <c r="C15" s="137"/>
      <c r="D15" s="137"/>
      <c r="E15" s="137"/>
      <c r="F15" s="137"/>
      <c r="G15" s="137"/>
      <c r="H15" s="137"/>
      <c r="I15" s="137"/>
    </row>
    <row r="16" spans="1:9" s="47" customFormat="1" ht="15.6" customHeight="1" x14ac:dyDescent="0.25">
      <c r="A16" s="47" t="s">
        <v>87</v>
      </c>
    </row>
    <row r="17" spans="1:9" s="47" customFormat="1" ht="15.6" customHeight="1" x14ac:dyDescent="0.25"/>
    <row r="18" spans="1:9" s="47" customFormat="1" ht="15.6" customHeight="1" x14ac:dyDescent="0.25">
      <c r="A18" s="47" t="s">
        <v>71</v>
      </c>
    </row>
    <row r="19" spans="1:9" s="47" customFormat="1" ht="15.6" customHeight="1" x14ac:dyDescent="0.25"/>
    <row r="20" spans="1:9" s="47" customFormat="1" ht="15.6" customHeight="1" x14ac:dyDescent="0.25">
      <c r="A20" s="47" t="s">
        <v>72</v>
      </c>
    </row>
    <row r="21" spans="1:9" s="47" customFormat="1" ht="15.6" customHeight="1" x14ac:dyDescent="0.25">
      <c r="A21" s="47" t="s">
        <v>73</v>
      </c>
    </row>
    <row r="22" spans="1:9" s="47" customFormat="1" ht="15.6" customHeight="1" x14ac:dyDescent="0.25">
      <c r="A22" s="49" t="s">
        <v>56</v>
      </c>
      <c r="B22" s="49"/>
      <c r="C22" s="49"/>
      <c r="D22" s="49"/>
      <c r="E22" s="49"/>
      <c r="F22" s="49"/>
      <c r="G22" s="49" t="s">
        <v>57</v>
      </c>
      <c r="H22" s="49"/>
      <c r="I22" s="49"/>
    </row>
    <row r="23" spans="1:9" s="47" customFormat="1" ht="15.6" customHeight="1" x14ac:dyDescent="0.25">
      <c r="A23" s="47" t="s">
        <v>74</v>
      </c>
    </row>
    <row r="24" spans="1:9" s="47" customFormat="1" ht="15.6" customHeight="1" x14ac:dyDescent="0.25">
      <c r="A24" s="47" t="s">
        <v>88</v>
      </c>
    </row>
    <row r="25" spans="1:9" s="47" customFormat="1" ht="15.6" customHeight="1" x14ac:dyDescent="0.25">
      <c r="A25" s="47" t="s">
        <v>90</v>
      </c>
    </row>
    <row r="26" spans="1:9" s="47" customFormat="1" ht="15.6" customHeight="1" x14ac:dyDescent="0.25"/>
    <row r="27" spans="1:9" x14ac:dyDescent="0.25">
      <c r="A27" s="40" t="s">
        <v>83</v>
      </c>
    </row>
    <row r="28" spans="1:9" x14ac:dyDescent="0.25">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50</vt:i4>
      </vt:variant>
    </vt:vector>
  </HeadingPairs>
  <TitlesOfParts>
    <vt:vector size="91" baseType="lpstr">
      <vt:lpstr>Compare-1</vt:lpstr>
      <vt:lpstr>NS-1</vt:lpstr>
      <vt:lpstr>WO-1</vt:lpstr>
      <vt:lpstr>AL-1 </vt:lpstr>
      <vt:lpstr>Compare-2</vt:lpstr>
      <vt:lpstr>Sheet1</vt:lpstr>
      <vt:lpstr>NS-2</vt:lpstr>
      <vt:lpstr>WO-2</vt:lpstr>
      <vt:lpstr>AL-2</vt:lpstr>
      <vt:lpstr>Compare-3</vt:lpstr>
      <vt:lpstr>NS-3</vt:lpstr>
      <vt:lpstr>WO-3</vt:lpstr>
      <vt:lpstr>AL-3</vt:lpstr>
      <vt:lpstr>Compare-4</vt:lpstr>
      <vt:lpstr>NS-4</vt:lpstr>
      <vt:lpstr>WO-4</vt:lpstr>
      <vt:lpstr>AL-4</vt:lpstr>
      <vt:lpstr>Compare-5</vt:lpstr>
      <vt:lpstr>NS-5</vt:lpstr>
      <vt:lpstr>WO-5</vt:lpstr>
      <vt:lpstr>AL-5</vt:lpstr>
      <vt:lpstr>Compare-6</vt:lpstr>
      <vt:lpstr>NS-6</vt:lpstr>
      <vt:lpstr>WO-6</vt:lpstr>
      <vt:lpstr>AL-6</vt:lpstr>
      <vt:lpstr>Compare-7</vt:lpstr>
      <vt:lpstr>NS-7</vt:lpstr>
      <vt:lpstr>WO-7</vt:lpstr>
      <vt:lpstr>AL-7</vt:lpstr>
      <vt:lpstr>Compare-8</vt:lpstr>
      <vt:lpstr>NS-8</vt:lpstr>
      <vt:lpstr>WO-8</vt:lpstr>
      <vt:lpstr>AL-8</vt:lpstr>
      <vt:lpstr>Compare-9</vt:lpstr>
      <vt:lpstr>NS-9</vt:lpstr>
      <vt:lpstr>WO-9</vt:lpstr>
      <vt:lpstr>AL-9</vt:lpstr>
      <vt:lpstr>Compare-10</vt:lpstr>
      <vt:lpstr>NS-10</vt:lpstr>
      <vt:lpstr>WO-10</vt:lpstr>
      <vt:lpstr>AL-10</vt:lpstr>
      <vt:lpstr>Above_Below</vt:lpstr>
      <vt:lpstr>Above_Below_item10</vt:lpstr>
      <vt:lpstr>Above_Below_item2</vt:lpstr>
      <vt:lpstr>Above_Below_item3</vt:lpstr>
      <vt:lpstr>Above_Below_item4</vt:lpstr>
      <vt:lpstr>Above_Below_item5</vt:lpstr>
      <vt:lpstr>Above_Below_item6</vt:lpstr>
      <vt:lpstr>Above_Below_item7</vt:lpstr>
      <vt:lpstr>Above_Below_item8</vt:lpstr>
      <vt:lpstr>Above_Below_item9</vt:lpstr>
      <vt:lpstr>Bid_Amount</vt:lpstr>
      <vt:lpstr>Bid_Amount_item10</vt:lpstr>
      <vt:lpstr>Bid_Amount_item2</vt:lpstr>
      <vt:lpstr>Bid_Amount_item3</vt:lpstr>
      <vt:lpstr>Bid_Amount_item4</vt:lpstr>
      <vt:lpstr>Bid_Amount_item5</vt:lpstr>
      <vt:lpstr>Bid_Amount_item6</vt:lpstr>
      <vt:lpstr>Bid_Amount_item7</vt:lpstr>
      <vt:lpstr>Bid_Amount_item8</vt:lpstr>
      <vt:lpstr>Bid_Amount_item9</vt:lpstr>
      <vt:lpstr>Lowest_bidder</vt:lpstr>
      <vt:lpstr>Lowest_bidder_item10</vt:lpstr>
      <vt:lpstr>Lowest_bidder_item2</vt:lpstr>
      <vt:lpstr>Lowest_bidder_item3</vt:lpstr>
      <vt:lpstr>Lowest_bidder_item4</vt:lpstr>
      <vt:lpstr>Lowest_bidder_item5</vt:lpstr>
      <vt:lpstr>Lowest_bidder_item6</vt:lpstr>
      <vt:lpstr>Lowest_bidder_item7</vt:lpstr>
      <vt:lpstr>Lowest_bidder_item8</vt:lpstr>
      <vt:lpstr>Lowest_bidder_item9</vt:lpstr>
      <vt:lpstr>percentile</vt:lpstr>
      <vt:lpstr>percentile_item10</vt:lpstr>
      <vt:lpstr>percentile_item2</vt:lpstr>
      <vt:lpstr>percentile_item3</vt:lpstr>
      <vt:lpstr>percentile_item4</vt:lpstr>
      <vt:lpstr>percentile_item5</vt:lpstr>
      <vt:lpstr>percentile_item6</vt:lpstr>
      <vt:lpstr>percentile_item7</vt:lpstr>
      <vt:lpstr>percentile_item8</vt:lpstr>
      <vt:lpstr>percentile_item9</vt:lpstr>
      <vt:lpstr>'Compare-1'!Print_Area</vt:lpstr>
      <vt:lpstr>'Compare-10'!Print_Area</vt:lpstr>
      <vt:lpstr>'Compare-2'!Print_Area</vt:lpstr>
      <vt:lpstr>'Compare-3'!Print_Area</vt:lpstr>
      <vt:lpstr>'Compare-4'!Print_Area</vt:lpstr>
      <vt:lpstr>'Compare-5'!Print_Area</vt:lpstr>
      <vt:lpstr>'Compare-6'!Print_Area</vt:lpstr>
      <vt:lpstr>'Compare-7'!Print_Area</vt:lpstr>
      <vt:lpstr>'Compare-8'!Print_Area</vt:lpstr>
      <vt:lpstr>'Compare-9'!Print_Area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Rajkumar Singh</dc:creator>
  <cp:lastModifiedBy>Rajkumar</cp:lastModifiedBy>
  <cp:lastPrinted>2025-04-04T05:18:10Z</cp:lastPrinted>
  <dcterms:created xsi:type="dcterms:W3CDTF">2024-12-16T06:45:26Z</dcterms:created>
  <dcterms:modified xsi:type="dcterms:W3CDTF">2025-07-19T03:09:27Z</dcterms:modified>
</cp:coreProperties>
</file>