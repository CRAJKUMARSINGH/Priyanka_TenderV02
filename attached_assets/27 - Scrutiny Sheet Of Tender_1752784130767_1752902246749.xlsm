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3820"/>
  <mc:AlternateContent xmlns:mc="http://schemas.openxmlformats.org/markup-compatibility/2006">
    <mc:Choice Requires="x15">
      <x15ac:absPath xmlns:x15ac="http://schemas.microsoft.com/office/spreadsheetml/2010/11/ac" url="C:\Users\Rajkumar\Priyanka_Tender\ATTACHED_ASSETS\"/>
    </mc:Choice>
  </mc:AlternateContent>
  <bookViews>
    <workbookView xWindow="0" yWindow="0" windowWidth="28800" windowHeight="12315" tabRatio="1000" activeTab="1"/>
  </bookViews>
  <sheets>
    <sheet name="BoQ-1" sheetId="1" r:id="rId1"/>
    <sheet name="Note Sheet-1" sheetId="2" r:id="rId2"/>
    <sheet name="WO-1" sheetId="3" r:id="rId3"/>
    <sheet name="AL-1 " sheetId="4" r:id="rId4"/>
  </sheets>
  <functionGroups builtInGroupCount="18"/>
  <definedNames>
    <definedName name="Above_Below">'BoQ-1'!$E$17</definedName>
    <definedName name="Bid_Amount">'BoQ-1'!$F$17</definedName>
    <definedName name="Lowest_bidder">'BoQ-1'!$B$17</definedName>
    <definedName name="percentile">'BoQ-1'!$D$17</definedName>
    <definedName name="_xlnm.Print_Area" localSheetId="0">'BoQ-1'!$A$1:$G$25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1" l="1"/>
  <c r="F14" i="1" s="1"/>
  <c r="C15" i="1"/>
  <c r="F15" i="1" s="1"/>
  <c r="C13" i="1"/>
  <c r="F13" i="1" s="1"/>
  <c r="C5" i="1"/>
  <c r="E6" i="2" s="1"/>
  <c r="E10" i="3"/>
  <c r="D11" i="4"/>
  <c r="E12" i="4" s="1"/>
  <c r="C10" i="4"/>
  <c r="E9" i="4"/>
  <c r="C9" i="4"/>
  <c r="D12" i="3"/>
  <c r="E13" i="3" s="1"/>
  <c r="C11" i="3"/>
  <c r="C10" i="3"/>
  <c r="C9" i="3"/>
  <c r="E19" i="2"/>
  <c r="E11" i="2"/>
  <c r="E10" i="2"/>
  <c r="E9" i="2"/>
  <c r="E8" i="2"/>
  <c r="E3" i="2"/>
  <c r="F12" i="1"/>
  <c r="G9" i="1"/>
  <c r="B17" i="1" l="1"/>
  <c r="A6" i="3" s="1"/>
  <c r="F17" i="1"/>
  <c r="D17" i="1"/>
  <c r="E17" i="1"/>
  <c r="A15" i="3"/>
  <c r="E14" i="2" l="1"/>
  <c r="A5" i="4"/>
  <c r="E16" i="2"/>
  <c r="C6" i="1"/>
  <c r="C9" i="1" s="1"/>
  <c r="C18" i="1"/>
  <c r="A14" i="4"/>
</calcChain>
</file>

<file path=xl/sharedStrings.xml><?xml version="1.0" encoding="utf-8"?>
<sst xmlns="http://schemas.openxmlformats.org/spreadsheetml/2006/main" count="129" uniqueCount="105">
  <si>
    <t xml:space="preserve">OFICE OF THE EXECUTIVE ENGINEER PWD ELECTRIC DIVISION, UDAIPUR
</t>
  </si>
  <si>
    <t>COMPARATIVE STATEMENT OF TENDERS</t>
  </si>
  <si>
    <t>Name of Work:</t>
  </si>
  <si>
    <t xml:space="preserve">Electric cabling and maintenance work in Sahelion ki Bari , Udaipur  </t>
  </si>
  <si>
    <t>NIT No.:</t>
  </si>
  <si>
    <t>Date :</t>
  </si>
  <si>
    <t>ITEM-1</t>
  </si>
  <si>
    <t>2. Amount of tender recommended for  Rs:</t>
  </si>
  <si>
    <t xml:space="preserve">3 Estimated amount of item not included in the tender Rs. : </t>
  </si>
  <si>
    <t>Nil.</t>
  </si>
  <si>
    <t>Number of tender sold :</t>
  </si>
  <si>
    <t>4. Contingencies and other provision included in the estimate Rs:</t>
  </si>
  <si>
    <t>As per rules</t>
  </si>
  <si>
    <t xml:space="preserve">Number of tender received :   </t>
  </si>
  <si>
    <t>5. Cost of work as per recommended tender Rs:</t>
  </si>
  <si>
    <t>Date of calling NIT</t>
  </si>
  <si>
    <t xml:space="preserve">6. Percentage of excess / saving over the sanctioned estimate % </t>
  </si>
  <si>
    <t>As per recommended rate.</t>
  </si>
  <si>
    <t>Date of Reciept of Tender</t>
  </si>
  <si>
    <t>S.No</t>
  </si>
  <si>
    <t>Bidder Name</t>
  </si>
  <si>
    <t>Quoted Percentage</t>
  </si>
  <si>
    <t>BELOW</t>
  </si>
  <si>
    <t>Lowest Amount Quoted BY: MEGHA CONSTRUCTION(9206492.87)</t>
  </si>
  <si>
    <t xml:space="preserve">AR                         DA                             TA                         EE </t>
  </si>
  <si>
    <t>Auditor                             Divisional Accountant                           TA                                    Executive Engineer</t>
  </si>
  <si>
    <t>Scrutiny Sheet of Tender</t>
  </si>
  <si>
    <t>Head of Account</t>
  </si>
  <si>
    <t>2</t>
  </si>
  <si>
    <t xml:space="preserve">Name of work </t>
  </si>
  <si>
    <t xml:space="preserve"> Job No.</t>
  </si>
  <si>
    <t xml:space="preserve">Reference of ADM. Sanction
</t>
  </si>
  <si>
    <t>Amount in  Rs.</t>
  </si>
  <si>
    <t>Reference of technical sanction with amount</t>
  </si>
  <si>
    <t>Date of receipt of tender</t>
  </si>
  <si>
    <t>No. of tender sold</t>
  </si>
  <si>
    <t>No. of tender received</t>
  </si>
  <si>
    <t>Allotment  of fund during the
current financial year</t>
  </si>
  <si>
    <t>Adequate.</t>
  </si>
  <si>
    <t>Expenditure up to last bill</t>
  </si>
  <si>
    <t>11</t>
  </si>
  <si>
    <t>Lowest rate quoted and condition if any</t>
  </si>
  <si>
    <t>12</t>
  </si>
  <si>
    <t>Financial implication of condition if any in tender</t>
  </si>
  <si>
    <t>Not Applicable.</t>
  </si>
  <si>
    <t>Name of lowest contractor</t>
  </si>
  <si>
    <t>14</t>
  </si>
  <si>
    <t>Authority competent to
sanction the tender</t>
  </si>
  <si>
    <t>The Executive Engineer</t>
  </si>
  <si>
    <t xml:space="preserve">Validity of tender </t>
  </si>
  <si>
    <t>20 Days</t>
  </si>
  <si>
    <t xml:space="preserve">Valid Upto Dated </t>
  </si>
  <si>
    <t>Remarks if any</t>
  </si>
  <si>
    <t>None.</t>
  </si>
  <si>
    <t>OFFICE OF THE EXECUTIVE ENGINEER PWD ELECTRIC DIVISION UDAIPUR</t>
  </si>
  <si>
    <t>Registered AD</t>
  </si>
  <si>
    <t>No.-</t>
  </si>
  <si>
    <t>Date-</t>
  </si>
  <si>
    <t xml:space="preserve">        Name of Work: </t>
  </si>
  <si>
    <t xml:space="preserve">        NIT No.: </t>
  </si>
  <si>
    <t xml:space="preserve">        NIT Date: </t>
  </si>
  <si>
    <t xml:space="preserve">        Tender Receipt Date: </t>
  </si>
  <si>
    <t xml:space="preserve">        Your Tender / Negotiations dated: </t>
  </si>
  <si>
    <t>        Dear Sir,</t>
  </si>
  <si>
    <t>        You are therefore, requested to please contact the Assistant Engineer-in-Charge and start the work. The time allowed for commencement of work shall be reckoned from 1st days after the of this order. Including tender document shall form part of the agreement and shall be treated as executed between you and the Governor of Rajasthan.</t>
  </si>
  <si>
    <t>        Agreement No.:     /2025-26</t>
  </si>
  <si>
    <t xml:space="preserve">        Stipulated date for commencement of work: </t>
  </si>
  <si>
    <t xml:space="preserve">        Stipulated date for completion of work: - </t>
  </si>
  <si>
    <t xml:space="preserve">        Administrative Sanction: - </t>
  </si>
  <si>
    <t xml:space="preserve">        Technical Sanction: - </t>
  </si>
  <si>
    <t xml:space="preserve">        Budget Provision: - </t>
  </si>
  <si>
    <t>        Yours Faithfully,</t>
  </si>
  <si>
    <t>        Executive Engineer</t>
  </si>
  <si>
    <t>        On behalf of the Governor of State of Rajasthan</t>
  </si>
  <si>
    <t>        Copy to the following for information &amp; necessary action: -</t>
  </si>
  <si>
    <t>        1. The Accountant General Raj Jaipur</t>
  </si>
  <si>
    <t>        2. The Addl Chief Engineer PWD Zone Udaipur.</t>
  </si>
  <si>
    <t xml:space="preserve">        3. The Addl Chief Engineer PWD Electrical Zone Udaipur.</t>
  </si>
  <si>
    <t xml:space="preserve">        4. The Superintending Engineer PWD Electric Circle Udaipur.</t>
  </si>
  <si>
    <t>        5. The Assistant Engineer PWD Electric Sub.Dn I/II Udaipur/Rajsamand for similar action.</t>
  </si>
  <si>
    <t>        6. The junior Engineer PWD Electric Sub Dn I/II Udaipur/Rajsamand for similar   action.</t>
  </si>
  <si>
    <t>        7. Agreement clerk with original tender for preparing agreement at the earliest.</t>
  </si>
  <si>
    <t>        8. Auditor</t>
  </si>
  <si>
    <t>        Executive Engineer,</t>
  </si>
  <si>
    <t>PWD ELECTRICAL DIVISION- UDAIPUR</t>
  </si>
  <si>
    <t>(Letter of Acceptance of Tender)</t>
  </si>
  <si>
    <t xml:space="preserve">                 Security Deposit as per rule of the gross amount of the ruining bill shall be deducted from each running bill or you may opt to deposit full amount of security deposit in the shape of bank guarantee or any acceptable form of security before or at the time of executing agreement. Kindly submit the required stamp duty of Rs. 1000/- as per rule and Deposit Additional Performance Guarantee Amounting to Rs NIL in this Office and do may sign the agreement within 3 days failing which action as per rule may be is initiated.</t>
  </si>
  <si>
    <t xml:space="preserve">               The receipt of the may please be acknowledged.</t>
  </si>
  <si>
    <t xml:space="preserve">        1. The Superintending Engineer PWD Electric Circle Udaipur.</t>
  </si>
  <si>
    <t xml:space="preserve">Name of Work: </t>
  </si>
  <si>
    <t xml:space="preserve">        2. The Assistant Engineer PWD Electric Sub. Dn I/II Udaipur/Rajsamand for similar action.</t>
  </si>
  <si>
    <t>Time for Completion Months</t>
  </si>
  <si>
    <t>1  Estimated amount for item in NIT Rs. :</t>
  </si>
  <si>
    <t>To,</t>
  </si>
  <si>
    <t>WRITTEN ORDER TO COMMENCE WORK</t>
  </si>
  <si>
    <t xml:space="preserve">AUDITOR                          
                                </t>
  </si>
  <si>
    <t>Estimated Cost Rs.</t>
  </si>
  <si>
    <t>Quoted Amount Rs.</t>
  </si>
  <si>
    <t>Earnest Money @2% Rs.</t>
  </si>
  <si>
    <t>27/2024-25</t>
  </si>
  <si>
    <t>M/s. Vikas Enterprises, Udaipur</t>
  </si>
  <si>
    <t>M/s. Powertech Engineer, Rajsamand</t>
  </si>
  <si>
    <t xml:space="preserve">M/s. Neha  Electricals, Pali </t>
  </si>
  <si>
    <t>M/s. Mitul  Enterprises, 1 1839 Neemuch Mata Scheme, Dewali, Udaipur</t>
  </si>
  <si>
    <t>E/f work in Classrooms at Takadiyon ka Gudha(Mandiyana) School Dist Rajsamand</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</si>
</sst>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rgb="FF000000"/>
      <name val="Calibri"/>
      <family val="2"/>
      <charset val="204"/>
    </font>
    <font>
      <sz val="11"/>
      <color theme="1"/>
      <name val="Calibri"/>
      <family val="2"/>
      <scheme val="minor"/>
    </font>
    <font>
      <b/>
      <u/>
      <sz val="13"/>
      <color rgb="FF000000"/>
      <name val="Calibri"/>
      <family val="2"/>
    </font>
    <font>
      <b/>
      <sz val="11.5"/>
      <color rgb="FF000000"/>
      <name val="Calibri"/>
      <family val="2"/>
    </font>
    <font>
      <b/>
      <sz val="11"/>
      <color theme="1"/>
      <name val="Calibri"/>
      <family val="2"/>
      <scheme val="minor"/>
    </font>
    <font>
      <sz val="11"/>
      <color indexed="8"/>
      <name val="Calibri"/>
      <family val="2"/>
      <scheme val="minor"/>
    </font>
    <font>
      <b/>
      <sz val="11"/>
      <color indexed="8"/>
      <name val="Calibri"/>
      <family val="2"/>
      <scheme val="minor"/>
    </font>
    <font>
      <b/>
      <sz val="8"/>
      <name val="Arial"/>
      <family val="2"/>
    </font>
    <font>
      <sz val="8"/>
      <name val="Arial"/>
      <family val="2"/>
    </font>
    <font>
      <b/>
      <u/>
      <sz val="11"/>
      <color indexed="8"/>
      <name val="Calibri"/>
      <family val="2"/>
      <scheme val="minor"/>
    </font>
    <font>
      <b/>
      <sz val="14"/>
      <color indexed="8"/>
      <name val="Calibri"/>
      <family val="2"/>
      <scheme val="minor"/>
    </font>
    <font>
      <b/>
      <sz val="12"/>
      <color indexed="8"/>
      <name val="Calibri"/>
      <family val="2"/>
      <scheme val="minor"/>
    </font>
    <font>
      <b/>
      <sz val="11"/>
      <color rgb="FF000000"/>
      <name val="Calibri"/>
      <family val="2"/>
    </font>
    <font>
      <b/>
      <sz val="11.5"/>
      <color rgb="FF000000"/>
      <name val="Calibri"/>
      <family val="1"/>
    </font>
    <font>
      <sz val="11"/>
      <color rgb="FFFF0000"/>
      <name val="Calibri"/>
      <family val="2"/>
      <charset val="204"/>
    </font>
    <font>
      <b/>
      <sz val="11"/>
      <color rgb="FFFF0000"/>
      <name val="Calibri"/>
      <family val="2"/>
    </font>
    <font>
      <sz val="11"/>
      <color rgb="FF000000"/>
      <name val="Calibri"/>
      <family val="2"/>
      <charset val="204"/>
    </font>
    <font>
      <b/>
      <u/>
      <sz val="11"/>
      <color rgb="FF000000"/>
      <name val="Calibri"/>
      <family val="2"/>
    </font>
    <font>
      <sz val="12"/>
      <color rgb="FF000000"/>
      <name val="Calibri"/>
      <family val="2"/>
      <charset val="204"/>
    </font>
    <font>
      <sz val="14"/>
      <color rgb="FF000000"/>
      <name val="Calibri"/>
      <family val="2"/>
      <charset val="204"/>
    </font>
    <font>
      <sz val="8"/>
      <color rgb="FFFF0000"/>
      <name val="Arial"/>
      <family val="2"/>
    </font>
    <font>
      <b/>
      <sz val="10"/>
      <color theme="1"/>
      <name val="Calibri"/>
      <family val="2"/>
      <scheme val="minor"/>
    </font>
    <font>
      <sz val="10"/>
      <color rgb="FF000000"/>
      <name val="Calibri"/>
      <family val="2"/>
    </font>
    <font>
      <b/>
      <sz val="11"/>
      <name val="Arial"/>
      <family val="2"/>
    </font>
    <font>
      <b/>
      <sz val="10"/>
      <color indexed="8"/>
      <name val="Calibri"/>
      <family val="2"/>
      <scheme val="minor"/>
    </font>
    <font>
      <sz val="10"/>
      <color indexed="8"/>
      <name val="Calibri"/>
      <family val="2"/>
      <scheme val="minor"/>
    </font>
    <font>
      <b/>
      <sz val="10"/>
      <color rgb="FFFF0000"/>
      <name val="Calibri"/>
      <family val="2"/>
      <scheme val="minor"/>
    </font>
    <font>
      <b/>
      <sz val="10"/>
      <color rgb="FF00B0F0"/>
      <name val="Calibri"/>
      <family val="2"/>
      <scheme val="minor"/>
    </font>
    <font>
      <b/>
      <sz val="11"/>
      <color rgb="FFFF0000"/>
      <name val="Arial"/>
      <family val="2"/>
    </font>
  </fonts>
  <fills count="2">
    <fill>
      <patternFill patternType="none"/>
    </fill>
    <fill>
      <patternFill patternType="gray125"/>
    </fill>
  </fills>
  <borders count="33">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bottom/>
      <diagonal/>
    </border>
    <border>
      <left style="thin">
        <color indexed="64"/>
      </left>
      <right style="thin">
        <color indexed="64"/>
      </right>
      <top style="thin">
        <color indexed="64"/>
      </top>
      <bottom style="thin">
        <color indexed="64"/>
      </bottom>
      <diagonal/>
    </border>
    <border>
      <left style="thin">
        <color auto="1"/>
      </left>
      <right style="thin">
        <color indexed="8"/>
      </right>
      <top style="thin">
        <color indexed="8"/>
      </top>
      <bottom style="thin">
        <color indexed="8"/>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8"/>
      </left>
      <right/>
      <top style="thin">
        <color indexed="8"/>
      </top>
      <bottom style="thin">
        <color indexed="8"/>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thin">
        <color indexed="8"/>
      </top>
      <bottom style="thin">
        <color indexed="8"/>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rgb="FF000000"/>
      </right>
      <top style="thin">
        <color rgb="FF000000"/>
      </top>
      <bottom/>
      <diagonal/>
    </border>
    <border>
      <left/>
      <right/>
      <top/>
      <bottom style="thin">
        <color rgb="FF000000"/>
      </bottom>
      <diagonal/>
    </border>
    <border>
      <left/>
      <right style="thin">
        <color rgb="FF000000"/>
      </right>
      <top/>
      <bottom style="thin">
        <color rgb="FF000000"/>
      </bottom>
      <diagonal/>
    </border>
  </borders>
  <cellStyleXfs count="4">
    <xf numFmtId="0" fontId="0" fillId="0" borderId="4"/>
    <xf numFmtId="0" fontId="5" fillId="0" borderId="4"/>
    <xf numFmtId="0" fontId="1" fillId="0" borderId="4"/>
    <xf numFmtId="0" fontId="16" fillId="0" borderId="4"/>
  </cellStyleXfs>
  <cellXfs count="138">
    <xf numFmtId="0" fontId="0" fillId="0" borderId="0" xfId="0" applyBorder="1"/>
    <xf numFmtId="1" fontId="3" fillId="0" borderId="1" xfId="0" applyNumberFormat="1" applyFont="1" applyBorder="1" applyAlignment="1">
      <alignment horizontal="center" vertical="top"/>
    </xf>
    <xf numFmtId="0" fontId="3" fillId="0" borderId="1" xfId="0" applyFont="1" applyBorder="1" applyAlignment="1">
      <alignment horizontal="left" vertical="top"/>
    </xf>
    <xf numFmtId="0" fontId="0" fillId="0" borderId="1" xfId="0" applyBorder="1" applyAlignment="1">
      <alignment horizontal="left" vertical="top"/>
    </xf>
    <xf numFmtId="0" fontId="3" fillId="0" borderId="1" xfId="0" applyFont="1" applyBorder="1" applyAlignment="1">
      <alignment horizontal="left" vertical="top" wrapText="1"/>
    </xf>
    <xf numFmtId="1" fontId="3" fillId="0" borderId="1" xfId="0" applyNumberFormat="1" applyFont="1" applyBorder="1" applyAlignment="1">
      <alignment horizontal="left" vertical="top"/>
    </xf>
    <xf numFmtId="0" fontId="5" fillId="0" borderId="4" xfId="1" applyProtection="1">
      <protection locked="0"/>
    </xf>
    <xf numFmtId="0" fontId="6" fillId="0" borderId="4" xfId="1" applyFont="1" applyAlignment="1" applyProtection="1">
      <alignment vertical="top"/>
      <protection locked="0"/>
    </xf>
    <xf numFmtId="0" fontId="5" fillId="0" borderId="4" xfId="1" applyAlignment="1" applyProtection="1">
      <alignment horizontal="right"/>
      <protection locked="0"/>
    </xf>
    <xf numFmtId="0" fontId="5" fillId="0" borderId="4" xfId="1" applyAlignment="1" applyProtection="1">
      <alignment vertical="top"/>
      <protection locked="0"/>
    </xf>
    <xf numFmtId="0" fontId="7" fillId="0" borderId="5" xfId="1" applyFont="1" applyBorder="1" applyAlignment="1" applyProtection="1">
      <alignment horizontal="center" vertical="top" wrapText="1"/>
      <protection locked="0"/>
    </xf>
    <xf numFmtId="0" fontId="5" fillId="0" borderId="5" xfId="1" applyBorder="1" applyAlignment="1" applyProtection="1">
      <alignment horizontal="center" vertical="top" wrapText="1"/>
      <protection locked="0"/>
    </xf>
    <xf numFmtId="0" fontId="8" fillId="0" borderId="6" xfId="1" applyFont="1" applyBorder="1" applyAlignment="1" applyProtection="1">
      <alignment horizontal="left" vertical="top" wrapText="1"/>
      <protection locked="0"/>
    </xf>
    <xf numFmtId="0" fontId="10" fillId="0" borderId="4" xfId="1" applyFont="1" applyProtection="1">
      <protection locked="0"/>
    </xf>
    <xf numFmtId="0" fontId="11" fillId="0" borderId="4" xfId="1" applyFont="1" applyProtection="1">
      <protection locked="0"/>
    </xf>
    <xf numFmtId="0" fontId="12" fillId="0" borderId="1" xfId="0" applyFont="1" applyBorder="1" applyAlignment="1">
      <alignment horizontal="left" vertical="top"/>
    </xf>
    <xf numFmtId="0" fontId="0" fillId="0" borderId="0" xfId="0" applyBorder="1" applyAlignment="1">
      <alignment vertical="top" wrapText="1"/>
    </xf>
    <xf numFmtId="1" fontId="3" fillId="0" borderId="4" xfId="0" applyNumberFormat="1" applyFont="1" applyAlignment="1">
      <alignment horizontal="center" vertical="top"/>
    </xf>
    <xf numFmtId="0" fontId="3" fillId="0" borderId="4" xfId="0" applyFont="1" applyAlignment="1">
      <alignment horizontal="left" vertical="top"/>
    </xf>
    <xf numFmtId="0" fontId="8" fillId="0" borderId="6" xfId="1" applyFont="1" applyBorder="1" applyAlignment="1" applyProtection="1">
      <alignment horizontal="right" vertical="top" wrapText="1"/>
      <protection locked="0"/>
    </xf>
    <xf numFmtId="14" fontId="3" fillId="0" borderId="1" xfId="0" applyNumberFormat="1" applyFont="1" applyBorder="1" applyAlignment="1">
      <alignment horizontal="left" vertical="top"/>
    </xf>
    <xf numFmtId="0" fontId="14" fillId="0" borderId="1" xfId="0" applyFont="1" applyBorder="1" applyAlignment="1">
      <alignment horizontal="left" vertical="top"/>
    </xf>
    <xf numFmtId="2" fontId="5" fillId="0" borderId="4" xfId="1" applyNumberFormat="1" applyProtection="1">
      <protection locked="0"/>
    </xf>
    <xf numFmtId="2" fontId="8" fillId="0" borderId="6" xfId="1" applyNumberFormat="1" applyFont="1" applyBorder="1" applyAlignment="1" applyProtection="1">
      <alignment horizontal="right" vertical="top" wrapText="1"/>
      <protection locked="0"/>
    </xf>
    <xf numFmtId="2" fontId="10" fillId="0" borderId="4" xfId="1" applyNumberFormat="1" applyFont="1" applyProtection="1">
      <protection locked="0"/>
    </xf>
    <xf numFmtId="0" fontId="9" fillId="0" borderId="10" xfId="1" applyFont="1" applyBorder="1" applyAlignment="1" applyProtection="1">
      <alignment vertical="top" wrapText="1"/>
      <protection locked="0"/>
    </xf>
    <xf numFmtId="0" fontId="14" fillId="0" borderId="5" xfId="0" applyFont="1" applyBorder="1"/>
    <xf numFmtId="2" fontId="14" fillId="0" borderId="5" xfId="0" applyNumberFormat="1" applyFont="1" applyBorder="1"/>
    <xf numFmtId="0" fontId="5" fillId="0" borderId="13" xfId="1" applyBorder="1" applyAlignment="1" applyProtection="1">
      <alignment horizontal="left" vertical="top" wrapText="1"/>
      <protection locked="0"/>
    </xf>
    <xf numFmtId="0" fontId="8" fillId="0" borderId="18" xfId="1" applyFont="1" applyBorder="1" applyAlignment="1" applyProtection="1">
      <alignment horizontal="left" vertical="top" wrapText="1"/>
      <protection locked="0"/>
    </xf>
    <xf numFmtId="0" fontId="0" fillId="0" borderId="1" xfId="0" applyBorder="1" applyAlignment="1">
      <alignment horizontal="left" vertical="top" wrapText="1"/>
    </xf>
    <xf numFmtId="0" fontId="3" fillId="0" borderId="8" xfId="0" applyFont="1" applyBorder="1" applyAlignment="1">
      <alignment horizontal="left" vertical="top"/>
    </xf>
    <xf numFmtId="14" fontId="3" fillId="0" borderId="8" xfId="0" applyNumberFormat="1" applyFont="1" applyBorder="1" applyAlignment="1">
      <alignment horizontal="left" vertical="top"/>
    </xf>
    <xf numFmtId="0" fontId="3" fillId="0" borderId="20" xfId="0" applyFont="1" applyBorder="1" applyAlignment="1">
      <alignment horizontal="left" vertical="top"/>
    </xf>
    <xf numFmtId="1" fontId="3" fillId="0" borderId="20" xfId="0" applyNumberFormat="1" applyFont="1" applyBorder="1" applyAlignment="1">
      <alignment horizontal="center" vertical="top"/>
    </xf>
    <xf numFmtId="1" fontId="3" fillId="0" borderId="21" xfId="0" applyNumberFormat="1" applyFont="1" applyBorder="1" applyAlignment="1">
      <alignment horizontal="center" vertical="top"/>
    </xf>
    <xf numFmtId="1" fontId="3" fillId="0" borderId="22" xfId="0" applyNumberFormat="1" applyFont="1" applyBorder="1" applyAlignment="1">
      <alignment horizontal="center" vertical="top"/>
    </xf>
    <xf numFmtId="0" fontId="3" fillId="0" borderId="19" xfId="0" applyFont="1" applyBorder="1" applyAlignment="1">
      <alignment horizontal="left" vertical="top"/>
    </xf>
    <xf numFmtId="0" fontId="15" fillId="0" borderId="5" xfId="0" applyFont="1" applyBorder="1" applyAlignment="1">
      <alignment vertical="top"/>
    </xf>
    <xf numFmtId="0" fontId="16" fillId="0" borderId="4" xfId="3" applyAlignment="1">
      <alignment horizontal="center"/>
    </xf>
    <xf numFmtId="0" fontId="16" fillId="0" borderId="4" xfId="3"/>
    <xf numFmtId="0" fontId="17" fillId="0" borderId="4" xfId="3" applyFont="1" applyAlignment="1">
      <alignment horizontal="center"/>
    </xf>
    <xf numFmtId="0" fontId="0" fillId="0" borderId="4" xfId="3" applyFont="1" applyAlignment="1">
      <alignment horizontal="center"/>
    </xf>
    <xf numFmtId="0" fontId="12" fillId="0" borderId="4" xfId="3" applyFont="1"/>
    <xf numFmtId="0" fontId="16" fillId="0" borderId="4" xfId="3" applyAlignment="1">
      <alignment vertical="top"/>
    </xf>
    <xf numFmtId="14" fontId="16" fillId="0" borderId="4" xfId="3" applyNumberFormat="1"/>
    <xf numFmtId="0" fontId="18" fillId="0" borderId="4" xfId="3" applyFont="1" applyAlignment="1">
      <alignment vertical="top"/>
    </xf>
    <xf numFmtId="0" fontId="18" fillId="0" borderId="4" xfId="3" applyFont="1"/>
    <xf numFmtId="14" fontId="18" fillId="0" borderId="4" xfId="3" applyNumberFormat="1" applyFont="1"/>
    <xf numFmtId="0" fontId="18" fillId="0" borderId="4" xfId="3" applyFont="1" applyAlignment="1">
      <alignment horizontal="center"/>
    </xf>
    <xf numFmtId="0" fontId="5" fillId="0" borderId="4" xfId="1" applyAlignment="1" applyProtection="1">
      <alignment horizontal="center"/>
      <protection locked="0"/>
    </xf>
    <xf numFmtId="0" fontId="18" fillId="0" borderId="4" xfId="3" applyFont="1" applyAlignment="1">
      <alignment horizontal="left" vertical="top"/>
    </xf>
    <xf numFmtId="0" fontId="0" fillId="0" borderId="4" xfId="3" applyFont="1"/>
    <xf numFmtId="0" fontId="20" fillId="0" borderId="6" xfId="1" applyFont="1" applyBorder="1" applyAlignment="1" applyProtection="1">
      <alignment horizontal="right" vertical="top" wrapText="1"/>
      <protection locked="0"/>
    </xf>
    <xf numFmtId="0" fontId="3" fillId="0" borderId="1" xfId="0" applyFont="1" applyBorder="1" applyAlignment="1">
      <alignment horizontal="center" vertical="top" wrapText="1"/>
    </xf>
    <xf numFmtId="0" fontId="3" fillId="0" borderId="19" xfId="0" applyFont="1" applyBorder="1" applyAlignment="1">
      <alignment horizontal="center" vertical="top" wrapText="1"/>
    </xf>
    <xf numFmtId="0" fontId="21" fillId="0" borderId="4" xfId="1" applyFont="1" applyAlignment="1" applyProtection="1">
      <alignment horizontal="left" vertical="top" wrapText="1"/>
      <protection locked="0"/>
    </xf>
    <xf numFmtId="0" fontId="24" fillId="0" borderId="4" xfId="1" applyFont="1" applyAlignment="1" applyProtection="1">
      <alignment horizontal="left"/>
      <protection locked="0"/>
    </xf>
    <xf numFmtId="0" fontId="25" fillId="0" borderId="4" xfId="1" applyFont="1" applyProtection="1">
      <protection locked="0"/>
    </xf>
    <xf numFmtId="14" fontId="25" fillId="0" borderId="5" xfId="1" applyNumberFormat="1" applyFont="1" applyBorder="1" applyAlignment="1" applyProtection="1">
      <alignment horizontal="left"/>
      <protection locked="0"/>
    </xf>
    <xf numFmtId="0" fontId="25" fillId="0" borderId="21" xfId="1" applyFont="1" applyBorder="1" applyProtection="1">
      <protection locked="0"/>
    </xf>
    <xf numFmtId="0" fontId="21" fillId="0" borderId="4" xfId="1" applyFont="1" applyAlignment="1" applyProtection="1">
      <alignment vertical="top"/>
      <protection locked="0"/>
    </xf>
    <xf numFmtId="0" fontId="21" fillId="0" borderId="4" xfId="1" applyFont="1" applyAlignment="1" applyProtection="1">
      <alignment horizontal="left" vertical="top"/>
      <protection locked="0"/>
    </xf>
    <xf numFmtId="0" fontId="21" fillId="0" borderId="5" xfId="1" applyFont="1" applyBorder="1" applyAlignment="1" applyProtection="1">
      <alignment vertical="top" wrapText="1"/>
      <protection locked="0"/>
    </xf>
    <xf numFmtId="0" fontId="26" fillId="0" borderId="5" xfId="1" applyFont="1" applyBorder="1" applyAlignment="1" applyProtection="1">
      <alignment horizontal="left" vertical="top" wrapText="1"/>
      <protection locked="0"/>
    </xf>
    <xf numFmtId="0" fontId="27" fillId="0" borderId="4" xfId="1" applyFont="1" applyAlignment="1" applyProtection="1">
      <alignment horizontal="left" vertical="top"/>
      <protection locked="0"/>
    </xf>
    <xf numFmtId="0" fontId="22" fillId="0" borderId="5" xfId="0" applyFont="1" applyBorder="1" applyAlignment="1" applyProtection="1">
      <alignment vertical="top"/>
      <protection locked="0"/>
    </xf>
    <xf numFmtId="0" fontId="21" fillId="0" borderId="4" xfId="1" applyFont="1" applyAlignment="1" applyProtection="1">
      <alignment horizontal="right" vertical="top" wrapText="1"/>
      <protection locked="0"/>
    </xf>
    <xf numFmtId="0" fontId="21" fillId="0" borderId="22" xfId="1" applyFont="1" applyBorder="1" applyAlignment="1" applyProtection="1">
      <alignment vertical="top" wrapText="1"/>
      <protection locked="0"/>
    </xf>
    <xf numFmtId="2" fontId="21" fillId="0" borderId="4" xfId="1" applyNumberFormat="1" applyFont="1" applyAlignment="1" applyProtection="1">
      <alignment horizontal="left" vertical="top" wrapText="1"/>
      <protection locked="0"/>
    </xf>
    <xf numFmtId="0" fontId="27" fillId="0" borderId="4" xfId="1" applyFont="1" applyAlignment="1" applyProtection="1">
      <alignment horizontal="left" vertical="top" wrapText="1"/>
      <protection locked="0"/>
    </xf>
    <xf numFmtId="14" fontId="21" fillId="0" borderId="5" xfId="1" applyNumberFormat="1" applyFont="1" applyBorder="1" applyAlignment="1" applyProtection="1">
      <alignment vertical="top" wrapText="1"/>
      <protection locked="0"/>
    </xf>
    <xf numFmtId="0" fontId="0" fillId="0" borderId="4" xfId="0" applyProtection="1">
      <protection locked="0"/>
    </xf>
    <xf numFmtId="1" fontId="28" fillId="0" borderId="5" xfId="1" applyNumberFormat="1" applyFont="1" applyBorder="1" applyAlignment="1" applyProtection="1">
      <alignment horizontal="center"/>
      <protection locked="0"/>
    </xf>
    <xf numFmtId="0" fontId="18" fillId="0" borderId="4" xfId="3" applyFont="1" applyBorder="1"/>
    <xf numFmtId="0" fontId="11" fillId="0" borderId="4" xfId="1" applyFont="1" applyAlignment="1" applyProtection="1">
      <alignment horizontal="left" vertical="top" wrapText="1"/>
      <protection locked="0"/>
    </xf>
    <xf numFmtId="1" fontId="7" fillId="0" borderId="5" xfId="1" applyNumberFormat="1" applyFont="1" applyBorder="1" applyAlignment="1" applyProtection="1">
      <alignment horizontal="center" vertical="top" wrapText="1"/>
      <protection locked="0"/>
    </xf>
    <xf numFmtId="0" fontId="0" fillId="0" borderId="29" xfId="0" applyBorder="1" applyProtection="1">
      <protection locked="0"/>
    </xf>
    <xf numFmtId="0" fontId="5" fillId="0" borderId="14" xfId="1" applyBorder="1" applyAlignment="1" applyProtection="1">
      <alignment horizontal="left" vertical="top" wrapText="1"/>
      <protection locked="0"/>
    </xf>
    <xf numFmtId="0" fontId="0" fillId="0" borderId="0" xfId="0" applyBorder="1" applyProtection="1">
      <protection locked="0"/>
    </xf>
    <xf numFmtId="0" fontId="0" fillId="0" borderId="14" xfId="0" applyBorder="1" applyProtection="1">
      <protection locked="0"/>
    </xf>
    <xf numFmtId="0" fontId="7" fillId="0" borderId="5" xfId="1" applyFont="1" applyBorder="1" applyAlignment="1" applyProtection="1">
      <alignment horizontal="center" vertical="top" wrapText="1"/>
      <protection locked="0"/>
    </xf>
    <xf numFmtId="0" fontId="21" fillId="0" borderId="4" xfId="1" applyFont="1" applyAlignment="1" applyProtection="1">
      <alignment horizontal="left" vertical="top" wrapText="1"/>
      <protection locked="0"/>
    </xf>
    <xf numFmtId="0" fontId="22" fillId="0" borderId="0" xfId="0" applyFont="1" applyBorder="1" applyProtection="1">
      <protection locked="0"/>
    </xf>
    <xf numFmtId="0" fontId="23" fillId="0" borderId="4" xfId="1" applyFont="1" applyAlignment="1" applyProtection="1">
      <alignment horizontal="center" vertical="top" wrapText="1"/>
      <protection locked="0"/>
    </xf>
    <xf numFmtId="0" fontId="16" fillId="0" borderId="0" xfId="0" applyFont="1" applyBorder="1" applyProtection="1">
      <protection locked="0"/>
    </xf>
    <xf numFmtId="0" fontId="4" fillId="0" borderId="4" xfId="1" applyFont="1" applyAlignment="1" applyProtection="1">
      <alignment horizontal="center" vertical="center"/>
      <protection locked="0"/>
    </xf>
    <xf numFmtId="0" fontId="25" fillId="0" borderId="4" xfId="1" applyFont="1" applyAlignment="1" applyProtection="1">
      <alignment horizontal="right"/>
      <protection locked="0"/>
    </xf>
    <xf numFmtId="0" fontId="10" fillId="0" borderId="4" xfId="1" applyFont="1" applyAlignment="1" applyProtection="1">
      <alignment horizontal="center"/>
      <protection locked="0"/>
    </xf>
    <xf numFmtId="0" fontId="5" fillId="0" borderId="4" xfId="1" applyAlignment="1" applyProtection="1">
      <alignment horizontal="center"/>
      <protection locked="0"/>
    </xf>
    <xf numFmtId="0" fontId="21" fillId="0" borderId="4" xfId="1" applyFont="1" applyAlignment="1" applyProtection="1">
      <alignment horizontal="left" vertical="top"/>
      <protection locked="0"/>
    </xf>
    <xf numFmtId="1" fontId="26" fillId="0" borderId="4" xfId="1" applyNumberFormat="1" applyFont="1" applyAlignment="1" applyProtection="1">
      <alignment horizontal="left" vertical="top"/>
      <protection locked="0"/>
    </xf>
    <xf numFmtId="1" fontId="22" fillId="0" borderId="0" xfId="0" applyNumberFormat="1" applyFont="1" applyBorder="1" applyProtection="1">
      <protection locked="0"/>
    </xf>
    <xf numFmtId="1" fontId="26" fillId="0" borderId="4" xfId="1" applyNumberFormat="1" applyFont="1" applyAlignment="1" applyProtection="1">
      <alignment horizontal="left" vertical="top" wrapText="1"/>
      <protection locked="0"/>
    </xf>
    <xf numFmtId="0" fontId="5" fillId="0" borderId="9" xfId="1" applyBorder="1" applyAlignment="1" applyProtection="1">
      <alignment horizontal="center" vertical="top" wrapText="1"/>
      <protection locked="0"/>
    </xf>
    <xf numFmtId="0" fontId="0" fillId="0" borderId="17" xfId="0" applyBorder="1" applyProtection="1">
      <protection locked="0"/>
    </xf>
    <xf numFmtId="0" fontId="5" fillId="0" borderId="27" xfId="1" applyBorder="1" applyAlignment="1" applyProtection="1">
      <alignment horizontal="left" vertical="top" wrapText="1"/>
      <protection locked="0"/>
    </xf>
    <xf numFmtId="0" fontId="0" fillId="0" borderId="11" xfId="0" applyBorder="1" applyProtection="1">
      <protection locked="0"/>
    </xf>
    <xf numFmtId="0" fontId="0" fillId="0" borderId="12" xfId="0" applyBorder="1" applyProtection="1">
      <protection locked="0"/>
    </xf>
    <xf numFmtId="0" fontId="5" fillId="0" borderId="28" xfId="1" applyBorder="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0" fontId="2" fillId="0" borderId="4" xfId="0" applyFont="1" applyAlignment="1">
      <alignment horizontal="center" vertical="top"/>
    </xf>
    <xf numFmtId="0" fontId="0" fillId="0" borderId="0" xfId="0" applyBorder="1" applyAlignment="1">
      <alignment vertical="top" wrapText="1"/>
    </xf>
    <xf numFmtId="0" fontId="0" fillId="0" borderId="0" xfId="0" applyBorder="1"/>
    <xf numFmtId="0" fontId="3" fillId="0" borderId="1" xfId="0" applyFont="1" applyBorder="1" applyAlignment="1">
      <alignment horizontal="left" vertical="top"/>
    </xf>
    <xf numFmtId="0" fontId="0" fillId="0" borderId="7" xfId="0" applyBorder="1"/>
    <xf numFmtId="0" fontId="0" fillId="0" borderId="8" xfId="0" applyBorder="1"/>
    <xf numFmtId="0" fontId="3" fillId="0" borderId="1" xfId="0" applyFont="1" applyBorder="1" applyAlignment="1">
      <alignment horizontal="left" vertical="top" wrapText="1"/>
    </xf>
    <xf numFmtId="0" fontId="3" fillId="0" borderId="20" xfId="0" applyFont="1" applyBorder="1" applyAlignment="1">
      <alignment horizontal="left" vertical="top"/>
    </xf>
    <xf numFmtId="0" fontId="0" fillId="0" borderId="31" xfId="0" applyBorder="1"/>
    <xf numFmtId="0" fontId="0" fillId="0" borderId="32" xfId="0" applyBorder="1"/>
    <xf numFmtId="0" fontId="3" fillId="0" borderId="4" xfId="0" applyFont="1" applyAlignment="1">
      <alignment horizontal="center" vertical="center" wrapText="1"/>
    </xf>
    <xf numFmtId="0" fontId="3" fillId="0" borderId="2" xfId="0" applyFont="1" applyBorder="1" applyAlignment="1">
      <alignment horizontal="left" vertical="top" wrapText="1"/>
    </xf>
    <xf numFmtId="0" fontId="0" fillId="0" borderId="3" xfId="0" applyBorder="1"/>
    <xf numFmtId="0" fontId="3" fillId="0" borderId="21" xfId="0" applyFont="1" applyBorder="1" applyAlignment="1">
      <alignment horizontal="left" vertical="top"/>
    </xf>
    <xf numFmtId="0" fontId="0" fillId="0" borderId="23" xfId="0" applyBorder="1"/>
    <xf numFmtId="0" fontId="0" fillId="0" borderId="24" xfId="0" applyBorder="1"/>
    <xf numFmtId="0" fontId="3" fillId="0" borderId="19" xfId="0" applyFont="1" applyBorder="1" applyAlignment="1">
      <alignment horizontal="left" vertical="top" wrapText="1"/>
    </xf>
    <xf numFmtId="0" fontId="0" fillId="0" borderId="30" xfId="0" applyBorder="1"/>
    <xf numFmtId="14" fontId="16" fillId="0" borderId="4" xfId="3" applyNumberFormat="1" applyAlignment="1">
      <alignment horizontal="center"/>
    </xf>
    <xf numFmtId="0" fontId="16" fillId="0" borderId="4" xfId="3"/>
    <xf numFmtId="0" fontId="16" fillId="0" borderId="4" xfId="3" applyAlignment="1">
      <alignment horizontal="center"/>
    </xf>
    <xf numFmtId="0" fontId="0" fillId="0" borderId="4" xfId="3" applyFont="1" applyAlignment="1">
      <alignment horizontal="center"/>
    </xf>
    <xf numFmtId="0" fontId="16" fillId="0" borderId="4" xfId="3" applyAlignment="1">
      <alignment horizontal="left" vertical="top" wrapText="1"/>
    </xf>
    <xf numFmtId="0" fontId="16" fillId="0" borderId="4" xfId="3" applyAlignment="1">
      <alignment horizontal="justify" vertical="top" wrapText="1"/>
    </xf>
    <xf numFmtId="0" fontId="18" fillId="0" borderId="4" xfId="3" applyFont="1" applyAlignment="1">
      <alignment horizontal="justify" vertical="top" wrapText="1"/>
    </xf>
    <xf numFmtId="0" fontId="18" fillId="0" borderId="4" xfId="3" applyFont="1"/>
    <xf numFmtId="0" fontId="18" fillId="0" borderId="4" xfId="3" applyFont="1" applyAlignment="1">
      <alignment horizontal="center"/>
    </xf>
    <xf numFmtId="0" fontId="19" fillId="0" borderId="4" xfId="3" applyFont="1" applyAlignment="1">
      <alignment horizontal="center"/>
    </xf>
    <xf numFmtId="0" fontId="19" fillId="0" borderId="4" xfId="3" applyFont="1"/>
    <xf numFmtId="0" fontId="18" fillId="0" borderId="4" xfId="3" applyFont="1" applyAlignment="1">
      <alignment horizontal="left" vertical="top" wrapText="1"/>
    </xf>
    <xf numFmtId="0" fontId="13" fillId="0" borderId="1" xfId="0" applyFont="1" applyBorder="1" applyAlignment="1">
      <alignment horizontal="left" vertical="top" wrapText="1"/>
    </xf>
    <xf numFmtId="0" fontId="0" fillId="0" borderId="7" xfId="0" applyBorder="1" applyAlignment="1">
      <alignment horizontal="left"/>
    </xf>
    <xf numFmtId="0" fontId="0" fillId="0" borderId="8" xfId="0" applyBorder="1" applyAlignment="1">
      <alignment horizontal="left"/>
    </xf>
    <xf numFmtId="0" fontId="3" fillId="0" borderId="22" xfId="0" applyFont="1" applyBorder="1" applyAlignment="1">
      <alignment horizontal="left" vertical="top"/>
    </xf>
    <xf numFmtId="0" fontId="0" fillId="0" borderId="25" xfId="0" applyBorder="1" applyAlignment="1">
      <alignment horizontal="left"/>
    </xf>
    <xf numFmtId="0" fontId="0" fillId="0" borderId="26" xfId="0" applyBorder="1" applyAlignment="1">
      <alignment horizontal="left"/>
    </xf>
  </cellXfs>
  <cellStyles count="4">
    <cellStyle name="Normal" xfId="0" builtinId="0"/>
    <cellStyle name="Normal 2" xfId="1"/>
    <cellStyle name="Normal 3" xfId="2"/>
    <cellStyle name="Normal 5"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25"/>
  <sheetViews>
    <sheetView view="pageBreakPreview" zoomScaleNormal="100" zoomScaleSheetLayoutView="100" workbookViewId="0">
      <selection activeCell="B28" sqref="B28"/>
    </sheetView>
  </sheetViews>
  <sheetFormatPr defaultColWidth="9.140625" defaultRowHeight="15" x14ac:dyDescent="0.25"/>
  <cols>
    <col min="1" max="1" width="9.140625" style="6" customWidth="1"/>
    <col min="2" max="2" width="49.28515625" style="6" customWidth="1"/>
    <col min="3" max="3" width="12.7109375" style="6" customWidth="1"/>
    <col min="4" max="4" width="9" style="6" customWidth="1"/>
    <col min="5" max="5" width="6.7109375" style="22" customWidth="1"/>
    <col min="6" max="6" width="26" style="6" customWidth="1"/>
    <col min="7" max="7" width="14.28515625" style="6" customWidth="1"/>
    <col min="8" max="16384" width="9.140625" style="6"/>
  </cols>
  <sheetData>
    <row r="1" spans="1:7" x14ac:dyDescent="0.25">
      <c r="A1" s="84" t="s">
        <v>0</v>
      </c>
      <c r="B1" s="85"/>
      <c r="C1" s="85"/>
      <c r="D1" s="85"/>
      <c r="E1" s="85"/>
      <c r="F1" s="85"/>
      <c r="G1" s="85"/>
    </row>
    <row r="2" spans="1:7" ht="15.6" customHeight="1" x14ac:dyDescent="0.25">
      <c r="A2" s="86" t="s">
        <v>1</v>
      </c>
      <c r="B2" s="85"/>
      <c r="C2" s="85"/>
      <c r="D2" s="85"/>
      <c r="E2" s="85"/>
      <c r="F2" s="85"/>
      <c r="G2" s="85"/>
    </row>
    <row r="3" spans="1:7" ht="31.15" customHeight="1" x14ac:dyDescent="0.25">
      <c r="A3" s="7" t="s">
        <v>2</v>
      </c>
      <c r="C3" s="75" t="s">
        <v>104</v>
      </c>
      <c r="D3" s="75"/>
      <c r="E3" s="75"/>
      <c r="F3" s="75"/>
      <c r="G3" s="75"/>
    </row>
    <row r="4" spans="1:7" x14ac:dyDescent="0.25">
      <c r="A4" s="57" t="s">
        <v>4</v>
      </c>
      <c r="B4" s="58" t="s">
        <v>99</v>
      </c>
      <c r="C4" s="87" t="s">
        <v>5</v>
      </c>
      <c r="D4" s="83"/>
      <c r="E4" s="83"/>
      <c r="F4" s="59">
        <v>45728</v>
      </c>
      <c r="G4" s="60" t="s">
        <v>6</v>
      </c>
    </row>
    <row r="5" spans="1:7" s="9" customFormat="1" x14ac:dyDescent="0.2">
      <c r="A5" s="61" t="s">
        <v>92</v>
      </c>
      <c r="B5" s="61"/>
      <c r="C5" s="90">
        <f>C12</f>
        <v>641694</v>
      </c>
      <c r="D5" s="83"/>
      <c r="E5" s="62"/>
      <c r="F5" s="63" t="s">
        <v>98</v>
      </c>
      <c r="G5" s="64">
        <v>13000</v>
      </c>
    </row>
    <row r="6" spans="1:7" s="9" customFormat="1" x14ac:dyDescent="0.2">
      <c r="A6" s="61" t="s">
        <v>7</v>
      </c>
      <c r="B6" s="61"/>
      <c r="C6" s="91">
        <f>ROUNDUP(F17,0)</f>
        <v>628796</v>
      </c>
      <c r="D6" s="92"/>
      <c r="E6" s="65"/>
      <c r="F6" s="63" t="s">
        <v>91</v>
      </c>
      <c r="G6" s="66">
        <v>9</v>
      </c>
    </row>
    <row r="7" spans="1:7" s="9" customFormat="1" x14ac:dyDescent="0.2">
      <c r="A7" s="82" t="s">
        <v>8</v>
      </c>
      <c r="B7" s="83"/>
      <c r="C7" s="82" t="s">
        <v>9</v>
      </c>
      <c r="D7" s="83"/>
      <c r="E7" s="56"/>
      <c r="F7" s="67" t="s">
        <v>10</v>
      </c>
      <c r="G7" s="68">
        <v>4</v>
      </c>
    </row>
    <row r="8" spans="1:7" s="9" customFormat="1" x14ac:dyDescent="0.2">
      <c r="A8" s="82" t="s">
        <v>11</v>
      </c>
      <c r="B8" s="83"/>
      <c r="C8" s="56" t="s">
        <v>12</v>
      </c>
      <c r="D8" s="69"/>
      <c r="E8" s="56"/>
      <c r="F8" s="67" t="s">
        <v>13</v>
      </c>
      <c r="G8" s="63">
        <v>4</v>
      </c>
    </row>
    <row r="9" spans="1:7" s="9" customFormat="1" x14ac:dyDescent="0.2">
      <c r="A9" s="82" t="s">
        <v>14</v>
      </c>
      <c r="B9" s="83"/>
      <c r="C9" s="93">
        <f>C6</f>
        <v>628796</v>
      </c>
      <c r="D9" s="92"/>
      <c r="E9" s="70"/>
      <c r="F9" s="67" t="s">
        <v>15</v>
      </c>
      <c r="G9" s="71">
        <f>F4</f>
        <v>45728</v>
      </c>
    </row>
    <row r="10" spans="1:7" s="9" customFormat="1" x14ac:dyDescent="0.2">
      <c r="A10" s="82" t="s">
        <v>16</v>
      </c>
      <c r="B10" s="83"/>
      <c r="C10" s="82" t="s">
        <v>17</v>
      </c>
      <c r="D10" s="83"/>
      <c r="E10" s="83"/>
      <c r="F10" s="67" t="s">
        <v>18</v>
      </c>
      <c r="G10" s="71">
        <v>45740</v>
      </c>
    </row>
    <row r="11" spans="1:7" ht="27.75" customHeight="1" x14ac:dyDescent="0.25">
      <c r="A11" s="10" t="s">
        <v>19</v>
      </c>
      <c r="B11" s="11" t="s">
        <v>20</v>
      </c>
      <c r="C11" s="11" t="s">
        <v>96</v>
      </c>
      <c r="D11" s="94" t="s">
        <v>21</v>
      </c>
      <c r="E11" s="95"/>
      <c r="F11" s="81" t="s">
        <v>97</v>
      </c>
      <c r="G11" s="77"/>
    </row>
    <row r="12" spans="1:7" ht="22.9" customHeight="1" x14ac:dyDescent="0.25">
      <c r="A12" s="19">
        <v>1</v>
      </c>
      <c r="B12" s="12" t="s">
        <v>100</v>
      </c>
      <c r="C12" s="19">
        <v>641694</v>
      </c>
      <c r="D12" s="23">
        <v>2</v>
      </c>
      <c r="E12" s="29" t="s">
        <v>22</v>
      </c>
      <c r="F12" s="76">
        <f>IF(E12="below",ROUNDUP(C12*(1-D12/100),0),ROUNDUP(C12*(1+D12/100),0))</f>
        <v>628861</v>
      </c>
      <c r="G12" s="77"/>
    </row>
    <row r="13" spans="1:7" ht="18.600000000000001" customHeight="1" x14ac:dyDescent="0.25">
      <c r="A13" s="19">
        <v>2</v>
      </c>
      <c r="B13" s="12" t="s">
        <v>101</v>
      </c>
      <c r="C13" s="53">
        <f>$C$12</f>
        <v>641694</v>
      </c>
      <c r="D13" s="23">
        <v>2.0099999999999998</v>
      </c>
      <c r="E13" s="29" t="s">
        <v>22</v>
      </c>
      <c r="F13" s="76">
        <f t="shared" ref="F13:F15" si="0">IF(E13="below",ROUNDUP(C13*(1-D13/100),0),ROUNDUP(C13*(1+D13/100),0))</f>
        <v>628796</v>
      </c>
      <c r="G13" s="77"/>
    </row>
    <row r="14" spans="1:7" ht="18.600000000000001" customHeight="1" x14ac:dyDescent="0.25">
      <c r="A14" s="19">
        <v>3</v>
      </c>
      <c r="B14" s="12" t="s">
        <v>102</v>
      </c>
      <c r="C14" s="53">
        <f>$C$12</f>
        <v>641694</v>
      </c>
      <c r="D14" s="23">
        <v>1</v>
      </c>
      <c r="E14" s="29" t="s">
        <v>22</v>
      </c>
      <c r="F14" s="76">
        <f t="shared" ref="F14" si="1">IF(E14="below",ROUNDUP(C14*(1-D14/100),0),ROUNDUP(C14*(1+D14/100),0))</f>
        <v>635278</v>
      </c>
      <c r="G14" s="77"/>
    </row>
    <row r="15" spans="1:7" ht="21" customHeight="1" x14ac:dyDescent="0.25">
      <c r="A15" s="19">
        <v>4</v>
      </c>
      <c r="B15" s="12" t="s">
        <v>103</v>
      </c>
      <c r="C15" s="53">
        <f t="shared" ref="C15" si="2">$C$12</f>
        <v>641694</v>
      </c>
      <c r="D15" s="23">
        <v>0.1</v>
      </c>
      <c r="E15" s="29" t="s">
        <v>22</v>
      </c>
      <c r="F15" s="76">
        <f t="shared" si="0"/>
        <v>641053</v>
      </c>
      <c r="G15" s="77"/>
    </row>
    <row r="16" spans="1:7" ht="4.1500000000000004" customHeight="1" x14ac:dyDescent="0.25">
      <c r="D16" s="22"/>
      <c r="E16" s="6"/>
    </row>
    <row r="17" spans="1:7" ht="15" customHeight="1" thickBot="1" x14ac:dyDescent="0.3">
      <c r="A17" s="25" t="s">
        <v>23</v>
      </c>
      <c r="B17" s="26" t="str">
        <f>INDEX(B12:B15,MATCH(MIN(F12:F15),F12:F15,0))</f>
        <v>M/s. Powertech Engineer, Rajsamand</v>
      </c>
      <c r="C17" s="26"/>
      <c r="D17" s="27">
        <f>INDEX(D12:D15,MATCH(MIN(F12:F15),F12:F15,0))</f>
        <v>2.0099999999999998</v>
      </c>
      <c r="E17" s="26" t="str">
        <f>INDEX(E12:E15,MATCH(MIN(F12:F15),F12:F15,0))</f>
        <v>BELOW</v>
      </c>
      <c r="F17" s="73">
        <f>ROUND(MIN(F12:F15),0)</f>
        <v>628796</v>
      </c>
    </row>
    <row r="18" spans="1:7" ht="57" customHeight="1" x14ac:dyDescent="0.25">
      <c r="A18" s="8"/>
      <c r="B18" s="8"/>
      <c r="C18" s="96" t="e">
        <f ca="1">_xlfn.CONCAT("The tender of the lowest bidder "," ", Lowest_bidder," @ ",ROUND(percentile,2),"%  ",Above_Below," amounting to Rs.  ",ROUND(Bid_Amount,0),"/-- In words Rupees. ",NumToWords(Bid_Amount),".")</f>
        <v>#NAME?</v>
      </c>
      <c r="D18" s="97"/>
      <c r="E18" s="97"/>
      <c r="F18" s="98"/>
    </row>
    <row r="19" spans="1:7" ht="13.15" customHeight="1" x14ac:dyDescent="0.25">
      <c r="A19" s="8"/>
      <c r="B19" s="8"/>
      <c r="C19" s="28"/>
      <c r="D19" s="78"/>
      <c r="E19" s="79"/>
      <c r="F19" s="80"/>
    </row>
    <row r="20" spans="1:7" ht="15" customHeight="1" thickBot="1" x14ac:dyDescent="0.3">
      <c r="A20" s="8"/>
      <c r="B20" s="8"/>
      <c r="C20" s="99" t="s">
        <v>24</v>
      </c>
      <c r="D20" s="100"/>
      <c r="E20" s="100"/>
      <c r="F20" s="101"/>
    </row>
    <row r="21" spans="1:7" ht="15" customHeight="1" x14ac:dyDescent="0.25">
      <c r="A21" s="8"/>
      <c r="B21" s="8"/>
      <c r="C21" s="50"/>
      <c r="D21" s="72"/>
      <c r="E21" s="72"/>
      <c r="F21" s="72"/>
    </row>
    <row r="22" spans="1:7" ht="15" customHeight="1" x14ac:dyDescent="0.25">
      <c r="A22" s="8"/>
      <c r="B22" s="8"/>
      <c r="C22" s="50"/>
      <c r="D22" s="72"/>
      <c r="E22" s="72"/>
      <c r="F22" s="72"/>
    </row>
    <row r="23" spans="1:7" x14ac:dyDescent="0.25">
      <c r="D23" s="22"/>
      <c r="E23" s="6"/>
      <c r="F23" s="89"/>
      <c r="G23" s="79"/>
    </row>
    <row r="24" spans="1:7" s="13" customFormat="1" ht="18" customHeight="1" x14ac:dyDescent="0.3">
      <c r="A24" s="88" t="s">
        <v>25</v>
      </c>
      <c r="B24" s="79"/>
      <c r="C24" s="79"/>
      <c r="D24" s="79"/>
      <c r="E24" s="79"/>
      <c r="F24" s="79"/>
      <c r="G24" s="79"/>
    </row>
    <row r="25" spans="1:7" s="13" customFormat="1" ht="18" customHeight="1" x14ac:dyDescent="0.3">
      <c r="B25" s="14"/>
      <c r="E25" s="24"/>
    </row>
  </sheetData>
  <mergeCells count="24">
    <mergeCell ref="A24:G24"/>
    <mergeCell ref="F23:G23"/>
    <mergeCell ref="C5:D5"/>
    <mergeCell ref="C6:D6"/>
    <mergeCell ref="A7:B7"/>
    <mergeCell ref="A9:B9"/>
    <mergeCell ref="C9:D9"/>
    <mergeCell ref="A10:B10"/>
    <mergeCell ref="D11:E11"/>
    <mergeCell ref="C10:E10"/>
    <mergeCell ref="C18:F18"/>
    <mergeCell ref="C20:F20"/>
    <mergeCell ref="A8:B8"/>
    <mergeCell ref="F13:G13"/>
    <mergeCell ref="F15:G15"/>
    <mergeCell ref="A1:G1"/>
    <mergeCell ref="A2:G2"/>
    <mergeCell ref="C4:E4"/>
    <mergeCell ref="F12:G12"/>
    <mergeCell ref="C3:G3"/>
    <mergeCell ref="F14:G14"/>
    <mergeCell ref="D19:F19"/>
    <mergeCell ref="F11:G11"/>
    <mergeCell ref="C7:D7"/>
  </mergeCells>
  <printOptions horizontalCentered="1"/>
  <pageMargins left="0.31496062992125984" right="0.31496062992125984" top="0.39370078740157483" bottom="0.35433070866141736" header="0" footer="0"/>
  <pageSetup paperSize="9" fitToHeight="2"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E22"/>
  <sheetViews>
    <sheetView tabSelected="1" view="pageBreakPreview" zoomScaleNormal="100" zoomScaleSheetLayoutView="100" workbookViewId="0">
      <selection activeCell="B19" sqref="B19:D19"/>
    </sheetView>
  </sheetViews>
  <sheetFormatPr defaultRowHeight="15" x14ac:dyDescent="0.25"/>
  <cols>
    <col min="1" max="1" width="8" customWidth="1"/>
    <col min="2" max="2" width="15.85546875" style="16" customWidth="1"/>
    <col min="3" max="3" width="8.85546875" customWidth="1"/>
    <col min="4" max="4" width="4.85546875" customWidth="1"/>
    <col min="5" max="5" width="67" customWidth="1"/>
  </cols>
  <sheetData>
    <row r="1" spans="1:5" ht="16.5" customHeight="1" x14ac:dyDescent="0.25">
      <c r="A1" s="102" t="s">
        <v>26</v>
      </c>
      <c r="B1" s="103"/>
      <c r="C1" s="104"/>
      <c r="D1" s="104"/>
      <c r="E1" s="104"/>
    </row>
    <row r="2" spans="1:5" ht="35.1" customHeight="1" x14ac:dyDescent="0.25">
      <c r="A2" s="1">
        <v>1</v>
      </c>
      <c r="B2" s="105" t="s">
        <v>27</v>
      </c>
      <c r="C2" s="106"/>
      <c r="D2" s="107"/>
      <c r="E2" s="3"/>
    </row>
    <row r="3" spans="1:5" s="16" customFormat="1" ht="15" customHeight="1" x14ac:dyDescent="0.25">
      <c r="A3" s="54" t="s">
        <v>28</v>
      </c>
      <c r="B3" s="108" t="s">
        <v>29</v>
      </c>
      <c r="C3" s="106"/>
      <c r="D3" s="107"/>
      <c r="E3" s="30" t="str">
        <f>'BoQ-1'!C3</f>
        <v>E/f work in Classrooms at Takadiyon ka Gudha(Mandiyana) School Dist Rajsamand</v>
      </c>
    </row>
    <row r="4" spans="1:5" ht="15" customHeight="1" x14ac:dyDescent="0.25">
      <c r="A4" s="4"/>
      <c r="B4" s="132" t="s">
        <v>30</v>
      </c>
      <c r="C4" s="133"/>
      <c r="D4" s="134"/>
      <c r="E4" s="21"/>
    </row>
    <row r="5" spans="1:5" ht="15" customHeight="1" x14ac:dyDescent="0.25">
      <c r="A5" s="1">
        <v>3</v>
      </c>
      <c r="B5" s="108" t="s">
        <v>31</v>
      </c>
      <c r="C5" s="106"/>
      <c r="D5" s="107"/>
      <c r="E5" s="3"/>
    </row>
    <row r="6" spans="1:5" ht="15" customHeight="1" x14ac:dyDescent="0.25">
      <c r="A6" s="1"/>
      <c r="B6" s="108" t="s">
        <v>32</v>
      </c>
      <c r="C6" s="133"/>
      <c r="D6" s="134"/>
      <c r="E6" s="3">
        <f>'BoQ-1'!C5</f>
        <v>641694</v>
      </c>
    </row>
    <row r="7" spans="1:5" ht="50.45" customHeight="1" x14ac:dyDescent="0.25">
      <c r="A7" s="1">
        <v>4</v>
      </c>
      <c r="B7" s="108" t="s">
        <v>33</v>
      </c>
      <c r="C7" s="106"/>
      <c r="D7" s="107"/>
      <c r="E7" s="3"/>
    </row>
    <row r="8" spans="1:5" ht="35.1" customHeight="1" x14ac:dyDescent="0.25">
      <c r="A8" s="1">
        <v>5</v>
      </c>
      <c r="B8" s="105" t="s">
        <v>15</v>
      </c>
      <c r="C8" s="106"/>
      <c r="D8" s="107"/>
      <c r="E8" s="20">
        <f>'BoQ-1'!F4</f>
        <v>45728</v>
      </c>
    </row>
    <row r="9" spans="1:5" ht="34.9" customHeight="1" x14ac:dyDescent="0.25">
      <c r="A9" s="1">
        <v>6</v>
      </c>
      <c r="B9" s="105" t="s">
        <v>34</v>
      </c>
      <c r="C9" s="106"/>
      <c r="D9" s="107"/>
      <c r="E9" s="20">
        <f>'BoQ-1'!G10</f>
        <v>45740</v>
      </c>
    </row>
    <row r="10" spans="1:5" ht="35.1" customHeight="1" x14ac:dyDescent="0.25">
      <c r="A10" s="1">
        <v>7</v>
      </c>
      <c r="B10" s="105" t="s">
        <v>35</v>
      </c>
      <c r="C10" s="106"/>
      <c r="D10" s="107"/>
      <c r="E10" s="5">
        <f>'BoQ-1'!G7</f>
        <v>4</v>
      </c>
    </row>
    <row r="11" spans="1:5" ht="34.9" customHeight="1" x14ac:dyDescent="0.25">
      <c r="A11" s="1">
        <v>8</v>
      </c>
      <c r="B11" s="105" t="s">
        <v>36</v>
      </c>
      <c r="C11" s="106"/>
      <c r="D11" s="107"/>
      <c r="E11" s="5">
        <f>'BoQ-1'!G8</f>
        <v>4</v>
      </c>
    </row>
    <row r="12" spans="1:5" ht="34.9" customHeight="1" x14ac:dyDescent="0.25">
      <c r="A12" s="1">
        <v>9</v>
      </c>
      <c r="B12" s="108" t="s">
        <v>37</v>
      </c>
      <c r="C12" s="106"/>
      <c r="D12" s="107"/>
      <c r="E12" s="2" t="s">
        <v>38</v>
      </c>
    </row>
    <row r="13" spans="1:5" ht="35.1" customHeight="1" x14ac:dyDescent="0.25">
      <c r="A13" s="1">
        <v>10</v>
      </c>
      <c r="B13" s="105" t="s">
        <v>39</v>
      </c>
      <c r="C13" s="106"/>
      <c r="D13" s="107"/>
      <c r="E13" s="37" t="s">
        <v>9</v>
      </c>
    </row>
    <row r="14" spans="1:5" ht="40.5" customHeight="1" x14ac:dyDescent="0.25">
      <c r="A14" s="54" t="s">
        <v>40</v>
      </c>
      <c r="B14" s="113" t="s">
        <v>41</v>
      </c>
      <c r="C14" s="114"/>
      <c r="D14" s="114"/>
      <c r="E14" s="38" t="str">
        <f>_xlfn.CONCAT(TEXT(ROUND([0]!percentile,4), "#,##0.00"), " % ", [0]!Above_Below, ". No Condition.")</f>
        <v>2.01 % BELOW. No Condition.</v>
      </c>
    </row>
    <row r="15" spans="1:5" ht="44.25" customHeight="1" x14ac:dyDescent="0.25">
      <c r="A15" s="54" t="s">
        <v>42</v>
      </c>
      <c r="B15" s="108" t="s">
        <v>43</v>
      </c>
      <c r="C15" s="106"/>
      <c r="D15" s="107"/>
      <c r="E15" s="33" t="s">
        <v>44</v>
      </c>
    </row>
    <row r="16" spans="1:5" ht="35.1" customHeight="1" x14ac:dyDescent="0.25">
      <c r="A16" s="1">
        <v>13</v>
      </c>
      <c r="B16" s="105" t="s">
        <v>45</v>
      </c>
      <c r="C16" s="106"/>
      <c r="D16" s="107"/>
      <c r="E16" s="15" t="str">
        <f>[0]!Lowest_bidder</f>
        <v>M/s. Powertech Engineer, Rajsamand</v>
      </c>
    </row>
    <row r="17" spans="1:5" ht="52.15" customHeight="1" x14ac:dyDescent="0.25">
      <c r="A17" s="55" t="s">
        <v>46</v>
      </c>
      <c r="B17" s="118" t="s">
        <v>47</v>
      </c>
      <c r="C17" s="114"/>
      <c r="D17" s="119"/>
      <c r="E17" s="2" t="s">
        <v>48</v>
      </c>
    </row>
    <row r="18" spans="1:5" x14ac:dyDescent="0.25">
      <c r="A18" s="35">
        <v>15</v>
      </c>
      <c r="B18" s="115" t="s">
        <v>49</v>
      </c>
      <c r="C18" s="116"/>
      <c r="D18" s="117"/>
      <c r="E18" s="31" t="s">
        <v>50</v>
      </c>
    </row>
    <row r="19" spans="1:5" x14ac:dyDescent="0.25">
      <c r="A19" s="36"/>
      <c r="B19" s="135" t="s">
        <v>51</v>
      </c>
      <c r="C19" s="136"/>
      <c r="D19" s="137"/>
      <c r="E19" s="32">
        <f>'BoQ-1'!G10+20</f>
        <v>45760</v>
      </c>
    </row>
    <row r="20" spans="1:5" x14ac:dyDescent="0.25">
      <c r="A20" s="34">
        <v>16</v>
      </c>
      <c r="B20" s="109" t="s">
        <v>52</v>
      </c>
      <c r="C20" s="110"/>
      <c r="D20" s="111"/>
      <c r="E20" s="2" t="s">
        <v>53</v>
      </c>
    </row>
    <row r="21" spans="1:5" ht="35.1" customHeight="1" x14ac:dyDescent="0.25">
      <c r="A21" s="17"/>
      <c r="B21" s="18"/>
      <c r="C21" s="18"/>
      <c r="D21" s="18"/>
      <c r="E21" s="18"/>
    </row>
    <row r="22" spans="1:5" ht="15" customHeight="1" x14ac:dyDescent="0.25">
      <c r="A22" s="112" t="s">
        <v>95</v>
      </c>
      <c r="B22" s="103"/>
      <c r="C22" s="104"/>
      <c r="D22" s="104"/>
      <c r="E22" s="104"/>
    </row>
  </sheetData>
  <mergeCells count="21">
    <mergeCell ref="B19:D19"/>
    <mergeCell ref="B20:D20"/>
    <mergeCell ref="A22:E22"/>
    <mergeCell ref="B13:D13"/>
    <mergeCell ref="B8:D8"/>
    <mergeCell ref="B9:D9"/>
    <mergeCell ref="B10:D10"/>
    <mergeCell ref="B11:D11"/>
    <mergeCell ref="B12:D12"/>
    <mergeCell ref="B14:D14"/>
    <mergeCell ref="B15:D15"/>
    <mergeCell ref="B18:D18"/>
    <mergeCell ref="B16:D16"/>
    <mergeCell ref="B17:D17"/>
    <mergeCell ref="A1:E1"/>
    <mergeCell ref="B2:D2"/>
    <mergeCell ref="B4:D4"/>
    <mergeCell ref="B6:D6"/>
    <mergeCell ref="B7:D7"/>
    <mergeCell ref="B3:D3"/>
    <mergeCell ref="B5:D5"/>
  </mergeCells>
  <pageMargins left="0.70866141732283472" right="0.70866141732283472" top="0.74803149606299213" bottom="0.74803149606299213" header="0.31496062992125984" footer="0.31496062992125984"/>
  <pageSetup paperSize="9" scale="8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41"/>
  <sheetViews>
    <sheetView view="pageBreakPreview" zoomScaleNormal="100" zoomScaleSheetLayoutView="100" workbookViewId="0">
      <selection activeCell="E10" sqref="E10"/>
    </sheetView>
  </sheetViews>
  <sheetFormatPr defaultColWidth="8.85546875" defaultRowHeight="15" x14ac:dyDescent="0.25"/>
  <cols>
    <col min="1" max="2" width="8.85546875" style="40" customWidth="1"/>
    <col min="3" max="5" width="10.28515625" style="40" bestFit="1" customWidth="1"/>
    <col min="6" max="6" width="8.85546875" style="40" customWidth="1"/>
    <col min="7" max="16384" width="8.85546875" style="40"/>
  </cols>
  <sheetData>
    <row r="1" spans="1:9" x14ac:dyDescent="0.25">
      <c r="A1" s="122" t="s">
        <v>54</v>
      </c>
      <c r="B1" s="121"/>
      <c r="C1" s="121"/>
      <c r="D1" s="121"/>
      <c r="E1" s="121"/>
      <c r="F1" s="121"/>
      <c r="G1" s="121"/>
      <c r="H1" s="121"/>
      <c r="I1" s="121"/>
    </row>
    <row r="2" spans="1:9" x14ac:dyDescent="0.25">
      <c r="A2" s="39"/>
      <c r="B2" s="39"/>
      <c r="C2" s="39"/>
      <c r="D2" s="39"/>
      <c r="E2" s="39"/>
      <c r="F2" s="39"/>
      <c r="G2" s="39"/>
      <c r="H2" s="41" t="s">
        <v>55</v>
      </c>
      <c r="I2" s="39"/>
    </row>
    <row r="3" spans="1:9" x14ac:dyDescent="0.25">
      <c r="A3" s="42" t="s">
        <v>56</v>
      </c>
      <c r="B3" s="39"/>
      <c r="C3" s="39"/>
      <c r="D3" s="39"/>
      <c r="E3" s="39"/>
      <c r="F3" s="39"/>
      <c r="G3" s="42" t="s">
        <v>57</v>
      </c>
      <c r="H3" s="42"/>
      <c r="I3" s="39"/>
    </row>
    <row r="4" spans="1:9" x14ac:dyDescent="0.25">
      <c r="A4" s="123" t="s">
        <v>94</v>
      </c>
      <c r="B4" s="121"/>
      <c r="C4" s="121"/>
      <c r="D4" s="121"/>
      <c r="E4" s="121"/>
      <c r="F4" s="121"/>
      <c r="G4" s="121"/>
      <c r="H4" s="121"/>
      <c r="I4" s="121"/>
    </row>
    <row r="5" spans="1:9" x14ac:dyDescent="0.25">
      <c r="A5" s="52" t="s">
        <v>93</v>
      </c>
    </row>
    <row r="6" spans="1:9" x14ac:dyDescent="0.25">
      <c r="A6" s="43" t="str">
        <f>[0]!Lowest_bidder</f>
        <v>M/s. Powertech Engineer, Rajsamand</v>
      </c>
    </row>
    <row r="7" spans="1:9" x14ac:dyDescent="0.25">
      <c r="A7" s="43"/>
    </row>
    <row r="9" spans="1:9" ht="31.15" customHeight="1" x14ac:dyDescent="0.25">
      <c r="A9" s="44" t="s">
        <v>58</v>
      </c>
      <c r="B9" s="44"/>
      <c r="C9" s="124" t="str">
        <f>'BoQ-1'!C3</f>
        <v>E/f work in Classrooms at Takadiyon ka Gudha(Mandiyana) School Dist Rajsamand</v>
      </c>
      <c r="D9" s="121"/>
      <c r="E9" s="121"/>
      <c r="F9" s="121"/>
      <c r="G9" s="121"/>
      <c r="H9" s="121"/>
      <c r="I9" s="121"/>
    </row>
    <row r="10" spans="1:9" x14ac:dyDescent="0.25">
      <c r="A10" s="40" t="s">
        <v>59</v>
      </c>
      <c r="C10" s="40" t="str">
        <f>'BoQ-1'!B4</f>
        <v>27/2024-25</v>
      </c>
      <c r="E10" s="40" t="str">
        <f>'BoQ-1'!G4</f>
        <v>ITEM-1</v>
      </c>
    </row>
    <row r="11" spans="1:9" x14ac:dyDescent="0.25">
      <c r="A11" s="40" t="s">
        <v>60</v>
      </c>
      <c r="C11" s="45">
        <f>'BoQ-1'!F4</f>
        <v>45728</v>
      </c>
    </row>
    <row r="12" spans="1:9" x14ac:dyDescent="0.25">
      <c r="A12" s="40" t="s">
        <v>61</v>
      </c>
      <c r="D12" s="45">
        <f>'BoQ-1'!G10</f>
        <v>45740</v>
      </c>
    </row>
    <row r="13" spans="1:9" x14ac:dyDescent="0.25">
      <c r="A13" s="40" t="s">
        <v>62</v>
      </c>
      <c r="E13" s="45">
        <f>D12</f>
        <v>45740</v>
      </c>
    </row>
    <row r="14" spans="1:9" x14ac:dyDescent="0.25">
      <c r="A14" s="40" t="s">
        <v>63</v>
      </c>
    </row>
    <row r="15" spans="1:9" ht="64.900000000000006" customHeight="1" x14ac:dyDescent="0.25">
      <c r="A15" s="125" t="e">
        <f ca="1">_xlfn.CONCAT("       Your tender for the above work has been accepted on behalf of the Governor of Rajasthan @  ",ROUND([0]!percentile,2), "%  ",[0]!Above_Below," amounting to Rs.  ",ROUND([0]!Bid_Amount,0),"/-- In words Rupees. ",NumToWords([0]!Bid_Amount),".")</f>
        <v>#NAME?</v>
      </c>
      <c r="B15" s="121"/>
      <c r="C15" s="121"/>
      <c r="D15" s="121"/>
      <c r="E15" s="121"/>
      <c r="F15" s="121"/>
      <c r="G15" s="121"/>
      <c r="H15" s="121"/>
      <c r="I15" s="121"/>
    </row>
    <row r="16" spans="1:9" ht="66" customHeight="1" x14ac:dyDescent="0.25">
      <c r="A16" s="125" t="s">
        <v>64</v>
      </c>
      <c r="B16" s="121"/>
      <c r="C16" s="121"/>
      <c r="D16" s="121"/>
      <c r="E16" s="121"/>
      <c r="F16" s="121"/>
      <c r="G16" s="121"/>
      <c r="H16" s="121"/>
      <c r="I16" s="121"/>
    </row>
    <row r="18" spans="1:9" x14ac:dyDescent="0.25">
      <c r="A18" s="40" t="s">
        <v>65</v>
      </c>
    </row>
    <row r="19" spans="1:9" x14ac:dyDescent="0.25">
      <c r="A19" s="40" t="s">
        <v>66</v>
      </c>
      <c r="F19" s="120">
        <v>45741</v>
      </c>
      <c r="G19" s="121"/>
    </row>
    <row r="20" spans="1:9" x14ac:dyDescent="0.25">
      <c r="A20" s="40" t="s">
        <v>67</v>
      </c>
      <c r="F20" s="120">
        <v>46015.23</v>
      </c>
      <c r="G20" s="121"/>
    </row>
    <row r="21" spans="1:9" x14ac:dyDescent="0.25">
      <c r="A21" s="40" t="s">
        <v>68</v>
      </c>
    </row>
    <row r="22" spans="1:9" x14ac:dyDescent="0.25">
      <c r="A22" s="40" t="s">
        <v>69</v>
      </c>
    </row>
    <row r="23" spans="1:9" x14ac:dyDescent="0.25">
      <c r="A23" s="40" t="s">
        <v>70</v>
      </c>
    </row>
    <row r="25" spans="1:9" x14ac:dyDescent="0.25">
      <c r="A25" s="40" t="s">
        <v>71</v>
      </c>
    </row>
    <row r="27" spans="1:9" x14ac:dyDescent="0.25">
      <c r="A27" s="40" t="s">
        <v>72</v>
      </c>
    </row>
    <row r="28" spans="1:9" x14ac:dyDescent="0.25">
      <c r="A28" s="40" t="s">
        <v>73</v>
      </c>
    </row>
    <row r="29" spans="1:9" x14ac:dyDescent="0.25">
      <c r="A29" s="42" t="s">
        <v>56</v>
      </c>
      <c r="B29" s="39"/>
      <c r="C29" s="39"/>
      <c r="D29" s="39"/>
      <c r="E29" s="39"/>
      <c r="F29" s="39"/>
      <c r="G29" s="42" t="s">
        <v>57</v>
      </c>
      <c r="H29" s="42"/>
      <c r="I29" s="39"/>
    </row>
    <row r="30" spans="1:9" x14ac:dyDescent="0.25">
      <c r="A30" s="40" t="s">
        <v>74</v>
      </c>
    </row>
    <row r="31" spans="1:9" x14ac:dyDescent="0.25">
      <c r="A31" s="40" t="s">
        <v>75</v>
      </c>
    </row>
    <row r="32" spans="1:9" x14ac:dyDescent="0.25">
      <c r="A32" s="40" t="s">
        <v>76</v>
      </c>
    </row>
    <row r="33" spans="1:1" x14ac:dyDescent="0.25">
      <c r="A33" s="40" t="s">
        <v>77</v>
      </c>
    </row>
    <row r="34" spans="1:1" x14ac:dyDescent="0.25">
      <c r="A34" s="40" t="s">
        <v>78</v>
      </c>
    </row>
    <row r="35" spans="1:1" x14ac:dyDescent="0.25">
      <c r="A35" s="40" t="s">
        <v>79</v>
      </c>
    </row>
    <row r="36" spans="1:1" x14ac:dyDescent="0.25">
      <c r="A36" s="40" t="s">
        <v>80</v>
      </c>
    </row>
    <row r="37" spans="1:1" x14ac:dyDescent="0.25">
      <c r="A37" s="40" t="s">
        <v>81</v>
      </c>
    </row>
    <row r="38" spans="1:1" x14ac:dyDescent="0.25">
      <c r="A38" s="40" t="s">
        <v>82</v>
      </c>
    </row>
    <row r="40" spans="1:1" x14ac:dyDescent="0.25">
      <c r="A40" s="40" t="s">
        <v>83</v>
      </c>
    </row>
    <row r="41" spans="1:1" x14ac:dyDescent="0.25">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I28"/>
  <sheetViews>
    <sheetView view="pageBreakPreview" zoomScaleNormal="100" zoomScaleSheetLayoutView="100" workbookViewId="0">
      <selection activeCell="E9" sqref="E9"/>
    </sheetView>
  </sheetViews>
  <sheetFormatPr defaultColWidth="8.85546875" defaultRowHeight="15" x14ac:dyDescent="0.25"/>
  <cols>
    <col min="1" max="2" width="8.85546875" style="40" customWidth="1"/>
    <col min="3" max="5" width="11.28515625" style="40" bestFit="1" customWidth="1"/>
    <col min="6" max="6" width="8.85546875" style="40" customWidth="1"/>
    <col min="7" max="16384" width="8.85546875" style="40"/>
  </cols>
  <sheetData>
    <row r="1" spans="1:9" ht="15.75" x14ac:dyDescent="0.25">
      <c r="A1" s="128" t="s">
        <v>54</v>
      </c>
      <c r="B1" s="127"/>
      <c r="C1" s="127"/>
      <c r="D1" s="127"/>
      <c r="E1" s="127"/>
      <c r="F1" s="127"/>
      <c r="G1" s="127"/>
      <c r="H1" s="127"/>
      <c r="I1" s="127"/>
    </row>
    <row r="2" spans="1:9" x14ac:dyDescent="0.25">
      <c r="A2" s="42" t="s">
        <v>56</v>
      </c>
      <c r="B2" s="39"/>
      <c r="C2" s="39"/>
      <c r="D2" s="39"/>
      <c r="E2" s="39"/>
      <c r="F2" s="39"/>
      <c r="G2" s="42" t="s">
        <v>57</v>
      </c>
      <c r="H2" s="42"/>
      <c r="I2" s="39"/>
    </row>
    <row r="3" spans="1:9" ht="18.75" x14ac:dyDescent="0.3">
      <c r="A3" s="129" t="s">
        <v>85</v>
      </c>
      <c r="B3" s="130"/>
      <c r="C3" s="130"/>
      <c r="D3" s="130"/>
      <c r="E3" s="130"/>
      <c r="F3" s="130"/>
      <c r="G3" s="130"/>
      <c r="H3" s="130"/>
      <c r="I3" s="130"/>
    </row>
    <row r="4" spans="1:9" x14ac:dyDescent="0.25">
      <c r="A4" s="52" t="s">
        <v>93</v>
      </c>
    </row>
    <row r="5" spans="1:9" x14ac:dyDescent="0.25">
      <c r="A5" s="43" t="str">
        <f>[0]!Lowest_bidder</f>
        <v>M/s. Powertech Engineer, Rajsamand</v>
      </c>
    </row>
    <row r="6" spans="1:9" x14ac:dyDescent="0.25">
      <c r="A6" s="43"/>
    </row>
    <row r="8" spans="1:9" s="47" customFormat="1" ht="31.15" customHeight="1" x14ac:dyDescent="0.25">
      <c r="A8" s="51" t="s">
        <v>89</v>
      </c>
      <c r="B8" s="46"/>
      <c r="C8" s="131" t="s">
        <v>3</v>
      </c>
      <c r="D8" s="127"/>
      <c r="E8" s="127"/>
      <c r="F8" s="127"/>
      <c r="G8" s="127"/>
      <c r="H8" s="127"/>
      <c r="I8" s="127"/>
    </row>
    <row r="9" spans="1:9" s="47" customFormat="1" ht="15.6" customHeight="1" x14ac:dyDescent="0.25">
      <c r="A9" s="47" t="s">
        <v>59</v>
      </c>
      <c r="C9" s="47" t="str">
        <f>'BoQ-1'!B4</f>
        <v>27/2024-25</v>
      </c>
      <c r="E9" s="74" t="str">
        <f>'BoQ-1'!G4</f>
        <v>ITEM-1</v>
      </c>
    </row>
    <row r="10" spans="1:9" s="47" customFormat="1" ht="15.6" customHeight="1" x14ac:dyDescent="0.25">
      <c r="A10" s="47" t="s">
        <v>60</v>
      </c>
      <c r="C10" s="48">
        <f>'BoQ-1'!F4</f>
        <v>45728</v>
      </c>
    </row>
    <row r="11" spans="1:9" s="47" customFormat="1" ht="15.6" customHeight="1" x14ac:dyDescent="0.25">
      <c r="A11" s="47" t="s">
        <v>61</v>
      </c>
      <c r="D11" s="48">
        <f>'BoQ-1'!G10</f>
        <v>45740</v>
      </c>
    </row>
    <row r="12" spans="1:9" s="47" customFormat="1" ht="15.6" customHeight="1" x14ac:dyDescent="0.25">
      <c r="A12" s="47" t="s">
        <v>62</v>
      </c>
      <c r="E12" s="48">
        <f>D11</f>
        <v>45740</v>
      </c>
    </row>
    <row r="13" spans="1:9" s="47" customFormat="1" ht="15.6" customHeight="1" x14ac:dyDescent="0.25">
      <c r="A13" s="47" t="s">
        <v>63</v>
      </c>
    </row>
    <row r="14" spans="1:9" s="47" customFormat="1" ht="74.45" customHeight="1" x14ac:dyDescent="0.25">
      <c r="A14" s="126" t="e">
        <f ca="1">_xlfn.CONCAT("       Your tender for the above work has been accepted on behalf of the Governor of Rajasthan @  ",ROUND([0]!percentile,2), "%  ",[0]!Above_Below," amounting to Rs.  ",ROUND([0]!Bid_Amount,0),"/-- In words Rupees. ",NumToWords([0]!Bid_Amount),"by the undersingned Executive Engineer PWD Electric Divistion Udaipur.")</f>
        <v>#NAME?</v>
      </c>
      <c r="B14" s="127"/>
      <c r="C14" s="127"/>
      <c r="D14" s="127"/>
      <c r="E14" s="127"/>
      <c r="F14" s="127"/>
      <c r="G14" s="127"/>
      <c r="H14" s="127"/>
      <c r="I14" s="127"/>
    </row>
    <row r="15" spans="1:9" s="47" customFormat="1" ht="109.9" customHeight="1" x14ac:dyDescent="0.25">
      <c r="A15" s="126" t="s">
        <v>86</v>
      </c>
      <c r="B15" s="127"/>
      <c r="C15" s="127"/>
      <c r="D15" s="127"/>
      <c r="E15" s="127"/>
      <c r="F15" s="127"/>
      <c r="G15" s="127"/>
      <c r="H15" s="127"/>
      <c r="I15" s="127"/>
    </row>
    <row r="16" spans="1:9" s="47" customFormat="1" ht="15.6" customHeight="1" x14ac:dyDescent="0.25">
      <c r="A16" s="47" t="s">
        <v>87</v>
      </c>
    </row>
    <row r="17" spans="1:9" s="47" customFormat="1" ht="15.6" customHeight="1" x14ac:dyDescent="0.25"/>
    <row r="18" spans="1:9" s="47" customFormat="1" ht="15.6" customHeight="1" x14ac:dyDescent="0.25">
      <c r="A18" s="47" t="s">
        <v>71</v>
      </c>
    </row>
    <row r="19" spans="1:9" s="47" customFormat="1" ht="15.6" customHeight="1" x14ac:dyDescent="0.25"/>
    <row r="20" spans="1:9" s="47" customFormat="1" ht="15.6" customHeight="1" x14ac:dyDescent="0.25">
      <c r="A20" s="47" t="s">
        <v>72</v>
      </c>
    </row>
    <row r="21" spans="1:9" s="47" customFormat="1" ht="15.6" customHeight="1" x14ac:dyDescent="0.25">
      <c r="A21" s="47" t="s">
        <v>73</v>
      </c>
    </row>
    <row r="22" spans="1:9" s="47" customFormat="1" ht="15.6" customHeight="1" x14ac:dyDescent="0.25">
      <c r="A22" s="49" t="s">
        <v>56</v>
      </c>
      <c r="B22" s="49"/>
      <c r="C22" s="49"/>
      <c r="D22" s="49"/>
      <c r="E22" s="49"/>
      <c r="F22" s="49"/>
      <c r="G22" s="49" t="s">
        <v>57</v>
      </c>
      <c r="H22" s="49"/>
      <c r="I22" s="49"/>
    </row>
    <row r="23" spans="1:9" s="47" customFormat="1" ht="15.6" customHeight="1" x14ac:dyDescent="0.25">
      <c r="A23" s="47" t="s">
        <v>74</v>
      </c>
    </row>
    <row r="24" spans="1:9" s="47" customFormat="1" ht="15.6" customHeight="1" x14ac:dyDescent="0.25">
      <c r="A24" s="47" t="s">
        <v>88</v>
      </c>
    </row>
    <row r="25" spans="1:9" s="47" customFormat="1" ht="15.6" customHeight="1" x14ac:dyDescent="0.25">
      <c r="A25" s="47" t="s">
        <v>90</v>
      </c>
    </row>
    <row r="26" spans="1:9" s="47" customFormat="1" ht="15.6" customHeight="1" x14ac:dyDescent="0.25"/>
    <row r="27" spans="1:9" x14ac:dyDescent="0.25">
      <c r="A27" s="40" t="s">
        <v>83</v>
      </c>
    </row>
    <row r="28" spans="1:9" x14ac:dyDescent="0.25">
      <c r="A28" s="40" t="s">
        <v>84</v>
      </c>
    </row>
  </sheetData>
  <mergeCells count="5">
    <mergeCell ref="A15:I15"/>
    <mergeCell ref="A1:I1"/>
    <mergeCell ref="A3:I3"/>
    <mergeCell ref="C8:I8"/>
    <mergeCell ref="A14:I14"/>
  </mergeCells>
  <pageMargins left="0.70866141732283472" right="0.70866141732283472" top="0.74803149606299213" bottom="0.74803149606299213" header="0.31496062992125978" footer="0.31496062992125978"/>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BoQ-1</vt:lpstr>
      <vt:lpstr>Note Sheet-1</vt:lpstr>
      <vt:lpstr>WO-1</vt:lpstr>
      <vt:lpstr>AL-1 </vt:lpstr>
      <vt:lpstr>Above_Below</vt:lpstr>
      <vt:lpstr>Bid_Amount</vt:lpstr>
      <vt:lpstr>Lowest_bidder</vt:lpstr>
      <vt:lpstr>percentile</vt:lpstr>
      <vt:lpstr>'BoQ-1'!Print_Area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dc:creator>
  <cp:lastModifiedBy>Rajkumar</cp:lastModifiedBy>
  <cp:lastPrinted>2025-03-25T08:47:50Z</cp:lastPrinted>
  <dcterms:created xsi:type="dcterms:W3CDTF">2024-12-16T06:45:26Z</dcterms:created>
  <dcterms:modified xsi:type="dcterms:W3CDTF">2025-07-19T07:52:02Z</dcterms:modified>
</cp:coreProperties>
</file>